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e3a773438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ลูกค้า" sheetId="1" r:id="R112ea007b3db4d0e"/>
    <x:sheet xmlns:r="http://schemas.openxmlformats.org/officeDocument/2006/relationships" name="90-5 ดี 55" sheetId="2" r:id="R110294d931524fbc"/>
    <x:sheet xmlns:r="http://schemas.openxmlformats.org/officeDocument/2006/relationships" name="90-5 ดี 60" sheetId="3" r:id="R63123a6fd8ac4a4e"/>
    <x:sheet xmlns:r="http://schemas.openxmlformats.org/officeDocument/2006/relationships" name="90-5 ดี 65" sheetId="4" r:id="Rbed919c04edb4886"/>
    <x:sheet xmlns:r="http://schemas.openxmlformats.org/officeDocument/2006/relationships" name="9055" sheetId="5" r:id="Rb81882ae3b9f4278"/>
    <x:sheet xmlns:r="http://schemas.openxmlformats.org/officeDocument/2006/relationships" name="9060" sheetId="6" r:id="Rcb00648d8c9a447e"/>
    <x:sheet xmlns:r="http://schemas.openxmlformats.org/officeDocument/2006/relationships" name="9065" sheetId="7" r:id="R5536110338584c14"/>
    <x:sheet xmlns:r="http://schemas.openxmlformats.org/officeDocument/2006/relationships" name="คำนวนจากเบี้ย" sheetId="8" r:id="R1ef7351c7bb6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"/>
    <x:numFmt numFmtId="202" formatCode="#,##0"/>
    <x:numFmt numFmtId="203" formatCode="0.00"/>
    <x:numFmt numFmtId="204" formatCode="0%"/>
  </x:numFmts>
  <x:fonts count="16">
    <x:font>
      <x:sz val="11"/>
      <x:name val="Carlito"/>
    </x:font>
    <x:font>
      <x:sz val="11"/>
      <x:color rgb="FF263445"/>
      <x:name val="Sarabun"/>
    </x:font>
    <x:font>
      <x:b/>
      <x:sz val="16"/>
      <x:color rgb="FF963C60"/>
      <x:name val="Sarabun"/>
    </x:font>
    <x:font>
      <x:i/>
      <x:sz val="11"/>
      <x:color rgb="FF7A6551"/>
      <x:name val="Sarabun"/>
    </x:font>
    <x:font>
      <x:sz val="11"/>
      <x:color rgb="FF1557A0"/>
      <x:name val="Sarabun"/>
    </x:font>
    <x:font>
      <x:b/>
      <x:sz val="13"/>
      <x:color rgb="FF8D3156"/>
      <x:name val="Sarabun"/>
    </x:font>
    <x:font>
      <x:sz val="10"/>
      <x:color rgb="FF667085"/>
      <x:name val="Sarabun"/>
    </x:font>
    <x:font>
      <x:b/>
      <x:sz val="15"/>
      <x:color rgb="FF963C60"/>
      <x:name val="Sarabun"/>
    </x:font>
    <x:font>
      <x:b/>
      <x:sz val="11"/>
      <x:color rgb="FFFFFFFF"/>
      <x:name val="Sarabun"/>
    </x:font>
    <x:font>
      <x:b/>
      <x:sz val="11"/>
      <x:color rgb="FF943D62"/>
      <x:name val="Sarabun"/>
    </x:font>
    <x:font>
      <x:b/>
      <x:sz val="13"/>
      <x:color rgb="FF963C60"/>
      <x:name val="Sarabun"/>
    </x:font>
    <x:font>
      <x:b/>
      <x:sz val="10"/>
      <x:color rgb="FFFFFFFF"/>
      <x:name val="Sarabun"/>
    </x:font>
    <x:font>
      <x:sz val="10"/>
      <x:color rgb="FF263445"/>
      <x:name val="Sarabun"/>
    </x:font>
    <x:font>
      <x:b/>
      <x:sz val="10"/>
      <x:color rgb="FF963C60"/>
      <x:name val="Sarabun"/>
    </x:font>
    <x:font>
      <x:sz val="10"/>
      <x:color rgb="FF963C60"/>
      <x:name val="Sarabun"/>
    </x:font>
    <x:font>
      <x:sz val="10"/>
      <x:color rgb="FF1557A0"/>
      <x:name val="Sarabun"/>
    </x:font>
  </x:fonts>
  <x:fills count="1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F7E3EB"/>
      </x:patternFill>
    </x:fill>
    <x:fill>
      <x:patternFill patternType="solid">
        <x:fgColor rgb="FFA44568"/>
      </x:patternFill>
    </x:fill>
    <x:fill>
      <x:patternFill patternType="solid">
        <x:fgColor rgb="FFFFF6F9"/>
      </x:patternFill>
    </x:fill>
    <x:fill>
      <x:patternFill patternType="solid">
        <x:fgColor rgb="FFF5F6F8"/>
      </x:patternFill>
    </x:fill>
    <x:fill>
      <x:patternFill patternType="solid">
        <x:fgColor rgb="FFA44568"/>
      </x:patternFill>
    </x:fill>
    <x:fill>
      <x:patternFill patternType="solid">
        <x:fgColor rgb="FFF5F6F8"/>
      </x:patternFill>
    </x:fill>
    <x:fill>
      <x:patternFill patternType="solid">
        <x:fgColor rgb="FFA44568"/>
      </x:patternFill>
    </x:fill>
    <x:fill>
      <x:patternFill patternType="solid">
        <x:fgColor rgb="FFFFF2CE"/>
      </x:patternFill>
    </x:fill>
    <x:fill>
      <x:patternFill patternType="solid">
        <x:fgColor rgb="FFF5F6F8"/>
      </x:patternFill>
    </x:fill>
    <x:fill>
      <x:patternFill patternType="solid">
        <x:fgColor rgb="FFA44568"/>
      </x:patternFill>
    </x:fill>
    <x:fill>
      <x:patternFill patternType="solid">
        <x:fgColor rgb="FFFFF0F5"/>
      </x:patternFill>
    </x:fill>
    <x:fill>
      <x:patternFill patternType="solid">
        <x:fgColor rgb="FFF5F6F8"/>
      </x:patternFill>
    </x:fill>
    <x:fill>
      <x:patternFill patternType="solid">
        <x:fgColor rgb="FFA4456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CA8B9"/>
      </x:bottom>
      <x:diagonal/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12" fillId="0" borderId="0" xfId="0" applyNumberFormat="1" applyFont="1" applyFill="1" applyBorder="1"/>
    <x:xf numFmtId="200" fontId="12" fillId="0" borderId="0" xfId="0" applyNumberFormat="1" applyFont="1" applyFill="1" applyBorder="1"/>
    <x:xf numFmtId="204" fontId="12" fillId="0" borderId="0" xfId="0" applyNumberFormat="1" applyFont="1" applyFill="1" applyBorder="1"/>
    <x:xf numFmtId="201" fontId="12" fillId="8" borderId="0" xfId="0" applyNumberFormat="1" applyFont="1" applyFill="1" applyBorder="1"/>
    <x:xf numFmtId="200" fontId="12" fillId="8" borderId="0" xfId="0" applyNumberFormat="1" applyFont="1" applyFill="1" applyBorder="1"/>
    <x:xf numFmtId="204" fontId="12" fillId="8" borderId="0" xfId="0" applyNumberFormat="1" applyFont="1" applyFill="1" applyBorder="1"/>
    <x:xf numFmtId="200" fontId="13" fillId="0" borderId="0" xfId="0" applyNumberFormat="1" applyFont="1" applyFill="1" applyBorder="1"/>
    <x:xf numFmtId="200" fontId="13" fillId="8" borderId="0" xfId="0" applyNumberFormat="1" applyFont="1" applyFill="1" applyBorder="1"/>
    <x:xf numFmtId="0" fontId="14" fillId="0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200" fontId="12" fillId="10" borderId="0" xfId="0" applyNumberFormat="1" applyFont="1" applyFill="1" applyBorder="1"/>
    <x:xf numFmtId="200" fontId="15" fillId="10" borderId="0" xfId="0" applyNumberFormat="1" applyFont="1" applyFill="1" applyBorder="1"/>
    <x:xf numFmtId="200" fontId="12" fillId="11" borderId="0" xfId="0" applyNumberFormat="1" applyFont="1" applyFill="1" applyBorder="1"/>
    <x:xf numFmtId="200" fontId="13" fillId="11" borderId="0" xfId="0" applyNumberFormat="1" applyFont="1" applyFill="1" applyBorder="1"/>
    <x:xf numFmtId="0" fontId="7" fillId="0" borderId="0" xfId="0" applyNumberFormat="1" applyFont="1" applyFill="1" applyBorder="1"/>
    <x:xf numFmtId="0" fontId="12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200" fontId="12" fillId="13" borderId="0" xfId="0" applyNumberFormat="1" applyFont="1" applyFill="1" applyBorder="1"/>
    <x:xf numFmtId="0" fontId="12" fillId="14" borderId="0" xfId="0" applyNumberFormat="1" applyFont="1" applyFill="1" applyBorder="1"/>
    <x:xf numFmtId="200" fontId="12" fillId="14" borderId="0" xfId="0" applyNumberFormat="1" applyFont="1" applyFill="1" applyBorder="1"/>
    <x:xf numFmtId="0" fontId="0" fillId="12" borderId="0" xfId="0" applyNumberFormat="1" applyFont="1" applyFill="1" applyBorder="1"/>
    <x:xf numFmtId="202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center"/>
    </x:xf>
    <x:xf numFmtId="200" fontId="15" fillId="2" borderId="0" xfId="0" applyNumberFormat="1" applyFont="1" applyFill="1" applyBorder="1"/>
    <x:xf numFmtId="201" fontId="12" fillId="6" borderId="0" xfId="0" applyNumberFormat="1" applyFont="1" applyFill="1" applyBorder="1"/>
    <x:xf numFmtId="200" fontId="12" fillId="6" borderId="0" xfId="0" applyNumberFormat="1" applyFont="1" applyFill="1" applyBorder="1"/>
    <x:xf numFmtId="204" fontId="12" fillId="6" borderId="0" xfId="0" applyNumberFormat="1" applyFont="1" applyFill="1" applyBorder="1"/>
    <x:xf numFmtId="200" fontId="13" fillId="6" borderId="0" xfId="0" applyNumberFormat="1" applyFont="1" applyFill="1" applyBorder="1"/>
    <x:xf numFmtId="202" fontId="5" fillId="3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horizontal="center" wrapText="1"/>
    </x:xf>
    <x:xf numFmtId="203" fontId="12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F1E2D"/>
      </x:font>
      <x:fill>
        <x:patternFill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eb3a747cd4a5f" /><Relationship Type="http://schemas.openxmlformats.org/officeDocument/2006/relationships/theme" Target="/xl/theme/theme1.xml" Id="Rb5d5ec9c148b44eb" /><Relationship Type="http://schemas.openxmlformats.org/officeDocument/2006/relationships/sharedStrings" Target="/xl/sharedStrings.xml" Id="R6549e8e90ce44424" /><Relationship Type="http://schemas.openxmlformats.org/officeDocument/2006/relationships/worksheet" Target="/xl/worksheets/sheet1.xml" Id="R112ea007b3db4d0e" /><Relationship Type="http://schemas.openxmlformats.org/officeDocument/2006/relationships/worksheet" Target="/xl/worksheets/sheet2.xml" Id="R110294d931524fbc" /><Relationship Type="http://schemas.openxmlformats.org/officeDocument/2006/relationships/worksheet" Target="/xl/worksheets/sheet3.xml" Id="R63123a6fd8ac4a4e" /><Relationship Type="http://schemas.openxmlformats.org/officeDocument/2006/relationships/worksheet" Target="/xl/worksheets/sheet4.xml" Id="Rbed919c04edb4886" /><Relationship Type="http://schemas.openxmlformats.org/officeDocument/2006/relationships/worksheet" Target="/xl/worksheets/sheet5.xml" Id="Rb81882ae3b9f4278" /><Relationship Type="http://schemas.openxmlformats.org/officeDocument/2006/relationships/worksheet" Target="/xl/worksheets/sheet6.xml" Id="Rcb00648d8c9a447e" /><Relationship Type="http://schemas.openxmlformats.org/officeDocument/2006/relationships/worksheet" Target="/xl/worksheets/sheet7.xml" Id="R5536110338584c14" /><Relationship Type="http://schemas.openxmlformats.org/officeDocument/2006/relationships/worksheet" Target="/xl/worksheets/sheet8.xml" Id="R1ef7351c7bb646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44568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43" hidden="0" customWidth="1"/>
    <x:col min="4" max="4" width="21" hidden="0" customWidth="1"/>
    <x:col min="5" max="5" width="27" hidden="0" customWidth="1"/>
    <x:col min="6" max="6" width="30" hidden="0" customWidth="1"/>
    <x:col min="7" max="7" width="31" hidden="0" customWidth="1"/>
    <x:col min="8" max="8" width="2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2"/>
      <x:c r="B2" s="3" t="str">
        <x:v>คำนวณเบี้ยประกัน Flexi Retire</x:v>
      </x:c>
      <x:c r="C2" s="3"/>
      <x:c r="D2" s="3"/>
      <x:c r="E2" s="3"/>
      <x:c r="F2" s="3"/>
    </x:row>
    <x:row r="3" ht="25" customHeight="1">
      <x:c r="A3" s="2"/>
      <x:c r="B3" s="4"/>
      <x:c r="C3" s="4"/>
      <x:c r="D3" s="4"/>
      <x:c r="E3" s="4"/>
      <x:c r="F3" s="4"/>
    </x:row>
    <x:row r="4" ht="25" customHeight="1">
      <x:c r="A4" s="2"/>
      <x:c r="B4" s="5" t="str">
        <x:v>กรอกข้อมูลในช่องสีเหลือง</x:v>
      </x:c>
      <x:c r="C4" s="2"/>
      <x:c r="D4" s="2"/>
      <x:c r="E4" s="2"/>
      <x:c r="F4" s="2"/>
    </x:row>
    <x:row r="5" ht="25" customHeight="1">
      <x:c r="A5" s="2"/>
      <x:c r="B5" s="2" t="str">
        <x:v>เพศ</x:v>
      </x:c>
      <x:c r="C5" s="7"/>
      <x:c r="D5" s="2"/>
      <x:c r="E5" s="2"/>
      <x:c r="F5" s="2"/>
    </x:row>
    <x:row r="6" ht="25" customHeight="1">
      <x:c r="A6" s="2"/>
      <x:c r="B6" s="2" t="str">
        <x:v>อายุ</x:v>
      </x:c>
      <x:c r="C6" s="9"/>
      <x:c r="D6" s="2" t="str">
        <x:v>ปี</x:v>
      </x:c>
      <x:c r="E6" s="2"/>
      <x:c r="F6" s="2"/>
    </x:row>
    <x:row r="7" ht="25" customHeight="1">
      <x:c r="A7" s="2"/>
      <x:c r="B7" s="2" t="str">
        <x:v>แผนที่สนใจ</x:v>
      </x:c>
      <x:c r="C7" s="7"/>
      <x:c r="D7" s="2"/>
      <x:c r="E7" s="2"/>
      <x:c r="F7" s="2"/>
    </x:row>
    <x:row r="8" ht="25" customHeight="1">
      <x:c r="A8" s="2"/>
      <x:c r="B8" s="2" t="str">
        <x:v>ทุนประกัน</x:v>
      </x:c>
      <x:c r="C8" s="8"/>
      <x:c r="D8" s="2" t="str">
        <x:v>บาท</x:v>
      </x:c>
      <x:c r="E8" s="2"/>
      <x:c r="F8" s="2"/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2"/>
      <x:c r="B10" s="2"/>
      <x:c r="C10" s="2"/>
      <x:c r="D10" s="2"/>
      <x:c r="E10" s="2"/>
      <x:c r="F10" s="2"/>
    </x:row>
    <x:row r="11" ht="38" customHeight="1">
      <x:c r="A11" s="2"/>
      <x:c r="B11" s="12" t="str">
        <x:v>เบี้ยประกันภัยรายปี</x:v>
      </x:c>
      <x:c r="C11" s="13" t="str">
        <x:f>IF(C17&lt;&gt;"พร้อมคำนวณ","",ROUND(C14*C8/C15,2))</x:f>
      </x:c>
      <x:c r="D11" s="12" t="str">
        <x:v>บาท/ปี</x:v>
      </x:c>
      <x:c r="E11" s="2"/>
      <x:c r="F11" s="2"/>
    </x:row>
    <x:row r="12" ht="25" customHeight="1">
      <x:c r="A12" s="2"/>
      <x:c r="B12" s="2" t="str">
        <x:v>จำนวนปีชำระเบี้ย</x:v>
      </x:c>
      <x:c r="C12" s="22" t="str">
        <x:f>IF(OR(C7="",COUNTIFS($B$115:$B$120,C7)=0,NOT(ISNUMBER(C6))),"",IF(VLOOKUP(C7,$B$115:$G$120,2,FALSE)="5 ปี",5,VLOOKUP(C7,$B$115:$G$120,5,FALSE)-C6))</x:f>
      </x:c>
      <x:c r="D12" s="2" t="str">
        <x:v>ปี</x:v>
      </x:c>
      <x:c r="E12" s="2"/>
      <x:c r="F12" s="2"/>
    </x:row>
    <x:row r="13" ht="25" customHeight="1">
      <x:c r="A13" s="2"/>
      <x:c r="B13" s="2" t="str">
        <x:v>อายุเริ่มรับบำนาญ</x:v>
      </x:c>
      <x:c r="C13" s="22" t="str">
        <x:f>IF(OR(C7="",COUNTIFS($B$115:$B$120,C7)=0),"",VLOOKUP(C7,$B$115:$G$120,5,FALSE))</x:f>
      </x:c>
      <x:c r="D13" s="2" t="str">
        <x:v>ปี</x:v>
      </x:c>
      <x:c r="E13" s="2"/>
      <x:c r="F13" s="2"/>
    </x:row>
    <x:row r="14" ht="25" customHeight="1">
      <x:c r="A14" s="2"/>
      <x:c r="B14" s="2" t="str">
        <x:v>อัตราเบี้ยตามเพศและอายุ</x:v>
      </x:c>
      <x:c r="C14" s="14" t="str">
        <x:f>IF(C17&lt;&gt;"พร้อมคำนวณ","",IF(C7="90/5 ดี 55",INDEX('90-5 ดี 55'!$B$9:$C$39,MATCH(C6,'90-5 ดี 55'!$A$9:$A$39,0),IF(C5="ชาย",1,2)),IF(C7="90/5 ดี 60",INDEX('90-5 ดี 60'!$B$9:$C$44,MATCH(C6,'90-5 ดี 60'!$A$9:$A$44,0),IF(C5="ชาย",1,2)),IF(C7="90/5 ดี 65",INDEX('90-5 ดี 65'!$B$9:$C$44,MATCH(C6,'90-5 ดี 65'!$A$9:$A$44,0),IF(C5="ชาย",1,2)),IF(C7="เฟล็กซี่ รีไทร์ 9055",INDEX('9055'!$B$9:$I$39,MATCH(C6,'9055'!$A$9:$A$39,0),IF(C8&lt;300000,1,IF(C8&lt;500000,3,IF(C8&lt;1000000,5,7)))+IF(C5="ชาย",0,1)),IF(C7="เฟล็กซี่ รีไทร์ 9060",INDEX('9060'!$B$9:$I$44,MATCH(C6,'9060'!$A$9:$A$44,0),IF(C8&lt;300000,1,IF(C8&lt;500000,3,IF(C8&lt;1000000,5,7)))+IF(C5="ชาย",0,1)),INDEX('9065'!$B$9:$I$49,MATCH(C6,'9065'!$A$9:$A$49,0),IF(C8&lt;300000,1,IF(C8&lt;500000,3,IF(C8&lt;1000000,5,7)))+IF(C5="ชาย",0,1))))))))</x:f>
      </x:c>
      <x:c r="D14" s="2" t="str">
        <x:v>บาท</x:v>
      </x:c>
      <x:c r="E14" s="2"/>
      <x:c r="F14" s="2"/>
    </x:row>
    <x:row r="15" ht="25" customHeight="1">
      <x:c r="A15" s="2"/>
      <x:c r="B15" s="2" t="str">
        <x:v>ต่อทุนประกัน</x:v>
      </x:c>
      <x:c r="C15" s="10" t="n">
        <x:v>1000</x:v>
      </x:c>
      <x:c r="D15" s="2" t="str">
        <x:v>บาท</x:v>
      </x:c>
      <x:c r="E15" s="2"/>
      <x:c r="F15" s="2"/>
    </x:row>
    <x:row r="16" ht="25" customHeight="1">
      <x:c r="A16" s="2"/>
      <x:c r="B16" s="2" t="str">
        <x:v>ช่วงทุนที่ใช้อัตราเบี้ย</x:v>
      </x:c>
      <x:c r="C16" s="63" t="str">
        <x:f>IF(C17&lt;&gt;"พร้อมคำนวณ","",IF(OR(C7="90/5 ดี 55",C7="90/5 ดี 60",C7="90/5 ดี 65"),"อัตราเดียว",IF(C8&lt;300000,"100,000–299,999 บาท",IF(C8&lt;500000,"300,000–499,999 บาท",IF(C8&lt;1000000,"500,000–999,999 บาท","ตั้งแต่ 1,000,000 บาท")))))</x:f>
      </x:c>
      <x:c r="D16" s="2"/>
      <x:c r="E16" s="2"/>
      <x:c r="F16" s="2"/>
    </x:row>
    <x:row r="17" ht="24" customHeight="1">
      <x:c r="A17" s="2"/>
      <x:c r="B17" s="2" t="str">
        <x:v>สถานะข้อมูล</x:v>
      </x:c>
      <x:c r="C17" s="15" t="str">
        <x:f>IF(OR(C5="",C6="",C7="",C8=""),"กรอกข้อมูลให้ครบ 4 ช่อง",IF(AND(C5&lt;&gt;"ชาย",C5&lt;&gt;"หญิง"),"เลือกเพศจากรายการ",IF(COUNTIFS($B$115:$B$120,C7)=0,"เลือกแผนจากรายการ",IF(NOT(ISNUMBER(C6)),"กรอกอายุเป็นตัวเลข",IF(OR(C6&lt;&gt;INT(C6),C6&lt;VLOOKUP(C7,$B$115:$G$120,3,FALSE),C6&gt;VLOOKUP(C7,$B$115:$G$120,4,FALSE)),"อายุนอกช่วงที่มีอัตราเบี้ยของแผนนี้",IF(NOT(ISNUMBER(C8)),"กรอกทุนประกันเป็นตัวเลข",IF(C8&lt;=0,"ทุนประกันต้องมากกว่า 0",IF(C8&lt;VLOOKUP(C7,$B$115:$G$120,6,FALSE),"แผนนี้มีอัตราเบี้ยสำหรับทุนตั้งแต่ 100,000 บาท","พร้อมคำนวณ"))))))))</x:f>
        <x:v>กรอกข้อมูลให้ครบ 4 ช่อง</x:v>
      </x:c>
      <x:c r="D17" s="15"/>
      <x:c r="E17" s="15"/>
      <x:c r="F17" s="15"/>
    </x:row>
    <x:row r="18" ht="24" customHeight="1">
      <x:c r="A18" s="2"/>
      <x:c r="B18" s="2"/>
      <x:c r="C18" s="15"/>
      <x:c r="D18" s="15"/>
      <x:c r="E18" s="15"/>
      <x:c r="F18" s="15"/>
    </x:row>
    <x:row r="19" ht="25" customHeight="1">
      <x:c r="A19" s="2"/>
      <x:c r="B19" s="2"/>
      <x:c r="C19" s="2"/>
      <x:c r="D19" s="2"/>
      <x:c r="E19" s="2"/>
      <x:c r="F19" s="2"/>
    </x:row>
    <x:row r="20" ht="25" customHeight="1">
      <x:c r="A20" s="2"/>
      <x:c r="B20" s="16" t="str">
        <x:v>วิธีคำนวณ: อัตราเบี้ย × ทุนประกัน ÷ 1,000</x:v>
      </x:c>
      <x:c r="C20" s="16"/>
      <x:c r="D20" s="16"/>
      <x:c r="E20" s="16"/>
      <x:c r="F20" s="16"/>
    </x:row>
    <x:row r="21" ht="25" customHeight="1">
      <x:c r="A21" s="2"/>
      <x:c r="B21" s="16" t="str">
        <x:v>ช่วงอายุและทุนขั้นต่ำของแต่ละแบบ ดูตารางเงื่อนไขแผนด้านล่าง</x:v>
      </x:c>
      <x:c r="C21" s="16"/>
      <x:c r="D21" s="16"/>
      <x:c r="E21" s="16"/>
      <x:c r="F21" s="16"/>
    </x:row>
    <x:row r="22" ht="25" customHeight="1">
      <x:c r="A22" s="2"/>
      <x:c r="B22" s="16" t="str">
        <x:v>อัตราเบี้ย 9055/9060/9065 เลือกตามช่วงทุนประกัน ผลลัพธ์แสดงทศนิยม 2 ตำแหน่ง</x:v>
      </x:c>
      <x:c r="C22" s="16"/>
      <x:c r="D22" s="16"/>
      <x:c r="E22" s="16"/>
      <x:c r="F22" s="16"/>
    </x:row>
    <x:row r="23" ht="25" customHeight="1">
      <x:c r="A23" s="2"/>
      <x:c r="B23" s="16" t="str">
        <x:v>90/5 ชำระเบี้ย 5 ปี ส่วน 9055/9060/9065 ชำระถึงก่อนอายุเริ่มรับบำนาญ</x:v>
      </x:c>
      <x:c r="C23" s="16"/>
      <x:c r="D23" s="16"/>
      <x:c r="E23" s="16"/>
      <x:c r="F23" s="16"/>
    </x:row>
    <x:row r="24" ht="25" customHeight="1">
      <x:c r="A24" s="2"/>
      <x:c r="B24" s="16" t="str">
        <x:v>ใช้คำนวณเบี้ยรายปีตามตาราง ควรยืนยันเบี้ยเสนอขายกับบริษัท</x:v>
      </x:c>
      <x:c r="C24" s="16"/>
      <x:c r="D24" s="16"/>
      <x:c r="E24" s="16"/>
      <x:c r="F24" s="16"/>
    </x:row>
    <x:row r="25" ht="25" customHeight="1">
      <x:c r="A25" s="2"/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7" customHeight="1">
      <x:c r="B27" s="26" t="str">
        <x:v>เบี้ยที่ชำระรวมตลอดสัญญา</x:v>
      </x:c>
      <x:c r="C27" s="27" t="str">
        <x:f>IF($C$17&lt;&gt;"พร้อมคำนวณ","",SUM(C34:C104))</x:f>
      </x:c>
    </x:row>
    <x:row r="28" ht="27" customHeight="1">
      <x:c r="B28" s="26" t="str">
        <x:v>เงินบำนาญรวมถึงอายุ 90 ปี</x:v>
      </x:c>
      <x:c r="C28" s="27" t="str">
        <x:f>IF($C$17&lt;&gt;"พร้อมคำนวณ","",SUM(E34:E104))</x:f>
      </x:c>
    </x:row>
    <x:row r="29">
      <x:c r="B29" s="44" t="str">
        <x:v>ก่อนรับบำนาญ: หากไม่ได้กรอกมูลค่าเวนคืน ตารางจะแสดงความคุ้มครองขั้นต่ำที่ 105% ของเบี้ยสะสม</x:v>
      </x:c>
    </x:row>
    <x:row r="30">
      <x:c r="B30" s="28" t="str">
        <x:v>ตารางเงินบำนาญรายปี ตั้งแต่อายุเริ่มทำประกันถึงอายุ 90 ปี</x:v>
      </x:c>
      <x:c r="C30" s="28"/>
      <x:c r="D30" s="28"/>
      <x:c r="E30" s="28"/>
      <x:c r="F30" s="28"/>
    </x:row>
    <x:row r="31">
      <x:c r="B31" s="29" t="str">
        <x:v>เงินบำนาญรายปีแสดงกรณีผู้เอาประกันมีชีวิตอยู่ถึงปีนั้น ความคุ้มครองชีวิตใช้กรณีเสียชีวิต</x:v>
      </x:c>
      <x:c r="C31" s="29"/>
      <x:c r="D31" s="29"/>
      <x:c r="E31" s="29"/>
      <x:c r="F31" s="29"/>
    </x:row>
    <x:row r="32">
      <x:c r="B32" s="29" t="str">
        <x:v>อ้างอิงผลประโยชน์: IMG_7465(1).png และ IMG_7466.png | กรอกมูลค่าเวนคืนก่อนรับบำนาญใน H</x:v>
      </x:c>
      <x:c r="C32" s="29"/>
      <x:c r="D32" s="29"/>
      <x:c r="E32" s="29"/>
      <x:c r="F32" s="29"/>
    </x:row>
    <x:row r="33" ht="33" customHeight="1">
      <x:c r="B33" s="32" t="str">
        <x:v>อายุ (ปี)</x:v>
      </x:c>
      <x:c r="C33" s="32" t="str">
        <x:v>เบี้ยที่ชำระ (บาท)</x:v>
      </x:c>
      <x:c r="D33" s="32" t="str">
        <x:v>อัตราเงินบำนาญ</x:v>
      </x:c>
      <x:c r="E33" s="32" t="str">
        <x:v>เงินบำนาญปีนั้น (บาท)</x:v>
      </x:c>
      <x:c r="F33" s="32" t="str">
        <x:v>เงินบำนาญสะสม (บาท)</x:v>
      </x:c>
      <x:c r="G33" s="47" t="str">
        <x:v>ความคุ้มครองชีวิต* (บาท)</x:v>
      </x:c>
      <x:c r="H33" s="47" t="str">
        <x:v>มูลค่าเวนคืน (กรอก)</x:v>
      </x:c>
    </x:row>
    <x:row r="34" ht="23" customHeight="1">
      <x:c r="B34" s="36" t="str">
        <x:f>IF($C$17&lt;&gt;"พร้อมคำนวณ","",IF($C$6+ROW()-34&gt;90,"",$C$6+ROW()-34))</x:f>
      </x:c>
      <x:c r="C34" s="37" t="str">
        <x:f>IF(B34="","",IF(B34-$C$6&lt;$C$12,$C$11,0))</x:f>
      </x:c>
      <x:c r="D34" s="38" t="str">
        <x:f>IF(B34="","",IF(B34&lt;$C$13,0,IF(B34&lt;=70,12%,IF(B34&lt;=75,15%,IF(B34&lt;=80,18%,IF(B34&lt;=85,21%,24%))))))</x:f>
      </x:c>
      <x:c r="E34" s="42" t="str">
        <x:f>IF(B34="","",ROUND(D34*$C$8,2))</x:f>
      </x:c>
      <x:c r="F34" s="37" t="str">
        <x:f>IF(B34="","",SUM($E$34:E34))</x:f>
      </x:c>
      <x:c r="G34" s="42" t="str">
        <x:f>IF(B34="","",IF(B34&lt;$C$13,IF(H34="",ROUND(105%*SUM($C$34:C34),2),IF(AND(ISNUMBER(H34),H34&gt;=0),MAX(ROUND(105%*SUM($C$34:C34),2),H34),"ตรวจมูลค่าเวนคืน")),MAX(0,ROUND(SUM($C$34:C34)-F34,2))))</x:f>
      </x:c>
      <x:c r="H34" s="50"/>
    </x:row>
    <x:row r="35" ht="23" customHeight="1">
      <x:c r="B35" s="39" t="str">
        <x:f>IF($C$17&lt;&gt;"พร้อมคำนวณ","",IF($C$6+ROW()-34&gt;90,"",$C$6+ROW()-34))</x:f>
      </x:c>
      <x:c r="C35" s="40" t="str">
        <x:f>IF(B35="","",IF(B35-$C$6&lt;$C$12,$C$11,0))</x:f>
      </x:c>
      <x:c r="D35" s="41" t="str">
        <x:f>IF(B35="","",IF(B35&lt;$C$13,0,IF(B35&lt;=70,12%,IF(B35&lt;=75,15%,IF(B35&lt;=80,18%,IF(B35&lt;=85,21%,24%))))))</x:f>
      </x:c>
      <x:c r="E35" s="43" t="str">
        <x:f>IF(B35="","",ROUND(D35*$C$8,2))</x:f>
      </x:c>
      <x:c r="F35" s="40" t="str">
        <x:f>IF(B35="","",SUM($E$34:E35))</x:f>
      </x:c>
      <x:c r="G35" s="52" t="str">
        <x:f>IF(B35="","",IF(B35&lt;$C$13,IF(H35="",ROUND(105%*SUM($C$34:C35),2),IF(AND(ISNUMBER(H35),H35&gt;=0),MAX(ROUND(105%*SUM($C$34:C35),2),H35),"ตรวจมูลค่าเวนคืน")),MAX(0,ROUND(SUM($C$34:C35)-F35,2))))</x:f>
      </x:c>
      <x:c r="H35" s="50"/>
    </x:row>
    <x:row r="36" ht="23" customHeight="1">
      <x:c r="B36" s="36" t="str">
        <x:f>IF($C$17&lt;&gt;"พร้อมคำนวณ","",IF($C$6+ROW()-34&gt;90,"",$C$6+ROW()-34))</x:f>
      </x:c>
      <x:c r="C36" s="37" t="str">
        <x:f>IF(B36="","",IF(B36-$C$6&lt;$C$12,$C$11,0))</x:f>
      </x:c>
      <x:c r="D36" s="38" t="str">
        <x:f>IF(B36="","",IF(B36&lt;$C$13,0,IF(B36&lt;=70,12%,IF(B36&lt;=75,15%,IF(B36&lt;=80,18%,IF(B36&lt;=85,21%,24%))))))</x:f>
      </x:c>
      <x:c r="E36" s="42" t="str">
        <x:f>IF(B36="","",ROUND(D36*$C$8,2))</x:f>
      </x:c>
      <x:c r="F36" s="37" t="str">
        <x:f>IF(B36="","",SUM($E$34:E36))</x:f>
      </x:c>
      <x:c r="G36" s="42" t="str">
        <x:f>IF(B36="","",IF(B36&lt;$C$13,IF(H36="",ROUND(105%*SUM($C$34:C36),2),IF(AND(ISNUMBER(H36),H36&gt;=0),MAX(ROUND(105%*SUM($C$34:C36),2),H36),"ตรวจมูลค่าเวนคืน")),MAX(0,ROUND(SUM($C$34:C36)-F36,2))))</x:f>
      </x:c>
      <x:c r="H36" s="50"/>
    </x:row>
    <x:row r="37" ht="23" customHeight="1">
      <x:c r="B37" s="39" t="str">
        <x:f>IF($C$17&lt;&gt;"พร้อมคำนวณ","",IF($C$6+ROW()-34&gt;90,"",$C$6+ROW()-34))</x:f>
      </x:c>
      <x:c r="C37" s="40" t="str">
        <x:f>IF(B37="","",IF(B37-$C$6&lt;$C$12,$C$11,0))</x:f>
      </x:c>
      <x:c r="D37" s="41" t="str">
        <x:f>IF(B37="","",IF(B37&lt;$C$13,0,IF(B37&lt;=70,12%,IF(B37&lt;=75,15%,IF(B37&lt;=80,18%,IF(B37&lt;=85,21%,24%))))))</x:f>
      </x:c>
      <x:c r="E37" s="43" t="str">
        <x:f>IF(B37="","",ROUND(D37*$C$8,2))</x:f>
      </x:c>
      <x:c r="F37" s="40" t="str">
        <x:f>IF(B37="","",SUM($E$34:E37))</x:f>
      </x:c>
      <x:c r="G37" s="52" t="str">
        <x:f>IF(B37="","",IF(B37&lt;$C$13,IF(H37="",ROUND(105%*SUM($C$34:C37),2),IF(AND(ISNUMBER(H37),H37&gt;=0),MAX(ROUND(105%*SUM($C$34:C37),2),H37),"ตรวจมูลค่าเวนคืน")),MAX(0,ROUND(SUM($C$34:C37)-F37,2))))</x:f>
      </x:c>
      <x:c r="H37" s="50"/>
    </x:row>
    <x:row r="38" ht="23" customHeight="1">
      <x:c r="B38" s="36" t="str">
        <x:f>IF($C$17&lt;&gt;"พร้อมคำนวณ","",IF($C$6+ROW()-34&gt;90,"",$C$6+ROW()-34))</x:f>
      </x:c>
      <x:c r="C38" s="37" t="str">
        <x:f>IF(B38="","",IF(B38-$C$6&lt;$C$12,$C$11,0))</x:f>
      </x:c>
      <x:c r="D38" s="38" t="str">
        <x:f>IF(B38="","",IF(B38&lt;$C$13,0,IF(B38&lt;=70,12%,IF(B38&lt;=75,15%,IF(B38&lt;=80,18%,IF(B38&lt;=85,21%,24%))))))</x:f>
      </x:c>
      <x:c r="E38" s="42" t="str">
        <x:f>IF(B38="","",ROUND(D38*$C$8,2))</x:f>
      </x:c>
      <x:c r="F38" s="37" t="str">
        <x:f>IF(B38="","",SUM($E$34:E38))</x:f>
      </x:c>
      <x:c r="G38" s="42" t="str">
        <x:f>IF(B38="","",IF(B38&lt;$C$13,IF(H38="",ROUND(105%*SUM($C$34:C38),2),IF(AND(ISNUMBER(H38),H38&gt;=0),MAX(ROUND(105%*SUM($C$34:C38),2),H38),"ตรวจมูลค่าเวนคืน")),MAX(0,ROUND(SUM($C$34:C38)-F38,2))))</x:f>
      </x:c>
      <x:c r="H38" s="50"/>
    </x:row>
    <x:row r="39" ht="23" customHeight="1">
      <x:c r="B39" s="39" t="str">
        <x:f>IF($C$17&lt;&gt;"พร้อมคำนวณ","",IF($C$6+ROW()-34&gt;90,"",$C$6+ROW()-34))</x:f>
      </x:c>
      <x:c r="C39" s="40" t="str">
        <x:f>IF(B39="","",IF(B39-$C$6&lt;$C$12,$C$11,0))</x:f>
      </x:c>
      <x:c r="D39" s="41" t="str">
        <x:f>IF(B39="","",IF(B39&lt;$C$13,0,IF(B39&lt;=70,12%,IF(B39&lt;=75,15%,IF(B39&lt;=80,18%,IF(B39&lt;=85,21%,24%))))))</x:f>
      </x:c>
      <x:c r="E39" s="43" t="str">
        <x:f>IF(B39="","",ROUND(D39*$C$8,2))</x:f>
      </x:c>
      <x:c r="F39" s="40" t="str">
        <x:f>IF(B39="","",SUM($E$34:E39))</x:f>
      </x:c>
      <x:c r="G39" s="52" t="str">
        <x:f>IF(B39="","",IF(B39&lt;$C$13,IF(H39="",ROUND(105%*SUM($C$34:C39),2),IF(AND(ISNUMBER(H39),H39&gt;=0),MAX(ROUND(105%*SUM($C$34:C39),2),H39),"ตรวจมูลค่าเวนคืน")),MAX(0,ROUND(SUM($C$34:C39)-F39,2))))</x:f>
      </x:c>
      <x:c r="H39" s="50"/>
    </x:row>
    <x:row r="40" ht="23" customHeight="1">
      <x:c r="B40" s="36" t="str">
        <x:f>IF($C$17&lt;&gt;"พร้อมคำนวณ","",IF($C$6+ROW()-34&gt;90,"",$C$6+ROW()-34))</x:f>
      </x:c>
      <x:c r="C40" s="37" t="str">
        <x:f>IF(B40="","",IF(B40-$C$6&lt;$C$12,$C$11,0))</x:f>
      </x:c>
      <x:c r="D40" s="38" t="str">
        <x:f>IF(B40="","",IF(B40&lt;$C$13,0,IF(B40&lt;=70,12%,IF(B40&lt;=75,15%,IF(B40&lt;=80,18%,IF(B40&lt;=85,21%,24%))))))</x:f>
      </x:c>
      <x:c r="E40" s="42" t="str">
        <x:f>IF(B40="","",ROUND(D40*$C$8,2))</x:f>
      </x:c>
      <x:c r="F40" s="37" t="str">
        <x:f>IF(B40="","",SUM($E$34:E40))</x:f>
      </x:c>
      <x:c r="G40" s="42" t="str">
        <x:f>IF(B40="","",IF(B40&lt;$C$13,IF(H40="",ROUND(105%*SUM($C$34:C40),2),IF(AND(ISNUMBER(H40),H40&gt;=0),MAX(ROUND(105%*SUM($C$34:C40),2),H40),"ตรวจมูลค่าเวนคืน")),MAX(0,ROUND(SUM($C$34:C40)-F40,2))))</x:f>
      </x:c>
      <x:c r="H40" s="50"/>
    </x:row>
    <x:row r="41" ht="23" customHeight="1">
      <x:c r="B41" s="39" t="str">
        <x:f>IF($C$17&lt;&gt;"พร้อมคำนวณ","",IF($C$6+ROW()-34&gt;90,"",$C$6+ROW()-34))</x:f>
      </x:c>
      <x:c r="C41" s="40" t="str">
        <x:f>IF(B41="","",IF(B41-$C$6&lt;$C$12,$C$11,0))</x:f>
      </x:c>
      <x:c r="D41" s="41" t="str">
        <x:f>IF(B41="","",IF(B41&lt;$C$13,0,IF(B41&lt;=70,12%,IF(B41&lt;=75,15%,IF(B41&lt;=80,18%,IF(B41&lt;=85,21%,24%))))))</x:f>
      </x:c>
      <x:c r="E41" s="43" t="str">
        <x:f>IF(B41="","",ROUND(D41*$C$8,2))</x:f>
      </x:c>
      <x:c r="F41" s="40" t="str">
        <x:f>IF(B41="","",SUM($E$34:E41))</x:f>
      </x:c>
      <x:c r="G41" s="52" t="str">
        <x:f>IF(B41="","",IF(B41&lt;$C$13,IF(H41="",ROUND(105%*SUM($C$34:C41),2),IF(AND(ISNUMBER(H41),H41&gt;=0),MAX(ROUND(105%*SUM($C$34:C41),2),H41),"ตรวจมูลค่าเวนคืน")),MAX(0,ROUND(SUM($C$34:C41)-F41,2))))</x:f>
      </x:c>
      <x:c r="H41" s="50"/>
    </x:row>
    <x:row r="42" ht="23" customHeight="1">
      <x:c r="B42" s="36" t="str">
        <x:f>IF($C$17&lt;&gt;"พร้อมคำนวณ","",IF($C$6+ROW()-34&gt;90,"",$C$6+ROW()-34))</x:f>
      </x:c>
      <x:c r="C42" s="37" t="str">
        <x:f>IF(B42="","",IF(B42-$C$6&lt;$C$12,$C$11,0))</x:f>
      </x:c>
      <x:c r="D42" s="38" t="str">
        <x:f>IF(B42="","",IF(B42&lt;$C$13,0,IF(B42&lt;=70,12%,IF(B42&lt;=75,15%,IF(B42&lt;=80,18%,IF(B42&lt;=85,21%,24%))))))</x:f>
      </x:c>
      <x:c r="E42" s="42" t="str">
        <x:f>IF(B42="","",ROUND(D42*$C$8,2))</x:f>
      </x:c>
      <x:c r="F42" s="37" t="str">
        <x:f>IF(B42="","",SUM($E$34:E42))</x:f>
      </x:c>
      <x:c r="G42" s="42" t="str">
        <x:f>IF(B42="","",IF(B42&lt;$C$13,IF(H42="",ROUND(105%*SUM($C$34:C42),2),IF(AND(ISNUMBER(H42),H42&gt;=0),MAX(ROUND(105%*SUM($C$34:C42),2),H42),"ตรวจมูลค่าเวนคืน")),MAX(0,ROUND(SUM($C$34:C42)-F42,2))))</x:f>
      </x:c>
      <x:c r="H42" s="50"/>
    </x:row>
    <x:row r="43" ht="23" customHeight="1">
      <x:c r="B43" s="39" t="str">
        <x:f>IF($C$17&lt;&gt;"พร้อมคำนวณ","",IF($C$6+ROW()-34&gt;90,"",$C$6+ROW()-34))</x:f>
      </x:c>
      <x:c r="C43" s="40" t="str">
        <x:f>IF(B43="","",IF(B43-$C$6&lt;$C$12,$C$11,0))</x:f>
      </x:c>
      <x:c r="D43" s="41" t="str">
        <x:f>IF(B43="","",IF(B43&lt;$C$13,0,IF(B43&lt;=70,12%,IF(B43&lt;=75,15%,IF(B43&lt;=80,18%,IF(B43&lt;=85,21%,24%))))))</x:f>
      </x:c>
      <x:c r="E43" s="43" t="str">
        <x:f>IF(B43="","",ROUND(D43*$C$8,2))</x:f>
      </x:c>
      <x:c r="F43" s="40" t="str">
        <x:f>IF(B43="","",SUM($E$34:E43))</x:f>
      </x:c>
      <x:c r="G43" s="52" t="str">
        <x:f>IF(B43="","",IF(B43&lt;$C$13,IF(H43="",ROUND(105%*SUM($C$34:C43),2),IF(AND(ISNUMBER(H43),H43&gt;=0),MAX(ROUND(105%*SUM($C$34:C43),2),H43),"ตรวจมูลค่าเวนคืน")),MAX(0,ROUND(SUM($C$34:C43)-F43,2))))</x:f>
      </x:c>
      <x:c r="H43" s="50"/>
    </x:row>
    <x:row r="44" ht="23" customHeight="1">
      <x:c r="B44" s="36" t="str">
        <x:f>IF($C$17&lt;&gt;"พร้อมคำนวณ","",IF($C$6+ROW()-34&gt;90,"",$C$6+ROW()-34))</x:f>
      </x:c>
      <x:c r="C44" s="37" t="str">
        <x:f>IF(B44="","",IF(B44-$C$6&lt;$C$12,$C$11,0))</x:f>
      </x:c>
      <x:c r="D44" s="38" t="str">
        <x:f>IF(B44="","",IF(B44&lt;$C$13,0,IF(B44&lt;=70,12%,IF(B44&lt;=75,15%,IF(B44&lt;=80,18%,IF(B44&lt;=85,21%,24%))))))</x:f>
      </x:c>
      <x:c r="E44" s="42" t="str">
        <x:f>IF(B44="","",ROUND(D44*$C$8,2))</x:f>
      </x:c>
      <x:c r="F44" s="37" t="str">
        <x:f>IF(B44="","",SUM($E$34:E44))</x:f>
      </x:c>
      <x:c r="G44" s="42" t="str">
        <x:f>IF(B44="","",IF(B44&lt;$C$13,IF(H44="",ROUND(105%*SUM($C$34:C44),2),IF(AND(ISNUMBER(H44),H44&gt;=0),MAX(ROUND(105%*SUM($C$34:C44),2),H44),"ตรวจมูลค่าเวนคืน")),MAX(0,ROUND(SUM($C$34:C44)-F44,2))))</x:f>
      </x:c>
      <x:c r="H44" s="50"/>
    </x:row>
    <x:row r="45" ht="23" customHeight="1">
      <x:c r="B45" s="39" t="str">
        <x:f>IF($C$17&lt;&gt;"พร้อมคำนวณ","",IF($C$6+ROW()-34&gt;90,"",$C$6+ROW()-34))</x:f>
      </x:c>
      <x:c r="C45" s="40" t="str">
        <x:f>IF(B45="","",IF(B45-$C$6&lt;$C$12,$C$11,0))</x:f>
      </x:c>
      <x:c r="D45" s="41" t="str">
        <x:f>IF(B45="","",IF(B45&lt;$C$13,0,IF(B45&lt;=70,12%,IF(B45&lt;=75,15%,IF(B45&lt;=80,18%,IF(B45&lt;=85,21%,24%))))))</x:f>
      </x:c>
      <x:c r="E45" s="43" t="str">
        <x:f>IF(B45="","",ROUND(D45*$C$8,2))</x:f>
      </x:c>
      <x:c r="F45" s="40" t="str">
        <x:f>IF(B45="","",SUM($E$34:E45))</x:f>
      </x:c>
      <x:c r="G45" s="52" t="str">
        <x:f>IF(B45="","",IF(B45&lt;$C$13,IF(H45="",ROUND(105%*SUM($C$34:C45),2),IF(AND(ISNUMBER(H45),H45&gt;=0),MAX(ROUND(105%*SUM($C$34:C45),2),H45),"ตรวจมูลค่าเวนคืน")),MAX(0,ROUND(SUM($C$34:C45)-F45,2))))</x:f>
      </x:c>
      <x:c r="H45" s="50"/>
    </x:row>
    <x:row r="46" ht="23" customHeight="1">
      <x:c r="B46" s="36" t="str">
        <x:f>IF($C$17&lt;&gt;"พร้อมคำนวณ","",IF($C$6+ROW()-34&gt;90,"",$C$6+ROW()-34))</x:f>
      </x:c>
      <x:c r="C46" s="37" t="str">
        <x:f>IF(B46="","",IF(B46-$C$6&lt;$C$12,$C$11,0))</x:f>
      </x:c>
      <x:c r="D46" s="38" t="str">
        <x:f>IF(B46="","",IF(B46&lt;$C$13,0,IF(B46&lt;=70,12%,IF(B46&lt;=75,15%,IF(B46&lt;=80,18%,IF(B46&lt;=85,21%,24%))))))</x:f>
      </x:c>
      <x:c r="E46" s="42" t="str">
        <x:f>IF(B46="","",ROUND(D46*$C$8,2))</x:f>
      </x:c>
      <x:c r="F46" s="37" t="str">
        <x:f>IF(B46="","",SUM($E$34:E46))</x:f>
      </x:c>
      <x:c r="G46" s="42" t="str">
        <x:f>IF(B46="","",IF(B46&lt;$C$13,IF(H46="",ROUND(105%*SUM($C$34:C46),2),IF(AND(ISNUMBER(H46),H46&gt;=0),MAX(ROUND(105%*SUM($C$34:C46),2),H46),"ตรวจมูลค่าเวนคืน")),MAX(0,ROUND(SUM($C$34:C46)-F46,2))))</x:f>
      </x:c>
      <x:c r="H46" s="50"/>
    </x:row>
    <x:row r="47" ht="23" customHeight="1">
      <x:c r="B47" s="39" t="str">
        <x:f>IF($C$17&lt;&gt;"พร้อมคำนวณ","",IF($C$6+ROW()-34&gt;90,"",$C$6+ROW()-34))</x:f>
      </x:c>
      <x:c r="C47" s="40" t="str">
        <x:f>IF(B47="","",IF(B47-$C$6&lt;$C$12,$C$11,0))</x:f>
      </x:c>
      <x:c r="D47" s="41" t="str">
        <x:f>IF(B47="","",IF(B47&lt;$C$13,0,IF(B47&lt;=70,12%,IF(B47&lt;=75,15%,IF(B47&lt;=80,18%,IF(B47&lt;=85,21%,24%))))))</x:f>
      </x:c>
      <x:c r="E47" s="43" t="str">
        <x:f>IF(B47="","",ROUND(D47*$C$8,2))</x:f>
      </x:c>
      <x:c r="F47" s="40" t="str">
        <x:f>IF(B47="","",SUM($E$34:E47))</x:f>
      </x:c>
      <x:c r="G47" s="52" t="str">
        <x:f>IF(B47="","",IF(B47&lt;$C$13,IF(H47="",ROUND(105%*SUM($C$34:C47),2),IF(AND(ISNUMBER(H47),H47&gt;=0),MAX(ROUND(105%*SUM($C$34:C47),2),H47),"ตรวจมูลค่าเวนคืน")),MAX(0,ROUND(SUM($C$34:C47)-F47,2))))</x:f>
      </x:c>
      <x:c r="H47" s="50"/>
    </x:row>
    <x:row r="48" ht="23" customHeight="1">
      <x:c r="B48" s="36" t="str">
        <x:f>IF($C$17&lt;&gt;"พร้อมคำนวณ","",IF($C$6+ROW()-34&gt;90,"",$C$6+ROW()-34))</x:f>
      </x:c>
      <x:c r="C48" s="37" t="str">
        <x:f>IF(B48="","",IF(B48-$C$6&lt;$C$12,$C$11,0))</x:f>
      </x:c>
      <x:c r="D48" s="38" t="str">
        <x:f>IF(B48="","",IF(B48&lt;$C$13,0,IF(B48&lt;=70,12%,IF(B48&lt;=75,15%,IF(B48&lt;=80,18%,IF(B48&lt;=85,21%,24%))))))</x:f>
      </x:c>
      <x:c r="E48" s="42" t="str">
        <x:f>IF(B48="","",ROUND(D48*$C$8,2))</x:f>
      </x:c>
      <x:c r="F48" s="37" t="str">
        <x:f>IF(B48="","",SUM($E$34:E48))</x:f>
      </x:c>
      <x:c r="G48" s="42" t="str">
        <x:f>IF(B48="","",IF(B48&lt;$C$13,IF(H48="",ROUND(105%*SUM($C$34:C48),2),IF(AND(ISNUMBER(H48),H48&gt;=0),MAX(ROUND(105%*SUM($C$34:C48),2),H48),"ตรวจมูลค่าเวนคืน")),MAX(0,ROUND(SUM($C$34:C48)-F48,2))))</x:f>
      </x:c>
      <x:c r="H48" s="50"/>
    </x:row>
    <x:row r="49" ht="23" customHeight="1">
      <x:c r="B49" s="39" t="str">
        <x:f>IF($C$17&lt;&gt;"พร้อมคำนวณ","",IF($C$6+ROW()-34&gt;90,"",$C$6+ROW()-34))</x:f>
      </x:c>
      <x:c r="C49" s="40" t="str">
        <x:f>IF(B49="","",IF(B49-$C$6&lt;$C$12,$C$11,0))</x:f>
      </x:c>
      <x:c r="D49" s="41" t="str">
        <x:f>IF(B49="","",IF(B49&lt;$C$13,0,IF(B49&lt;=70,12%,IF(B49&lt;=75,15%,IF(B49&lt;=80,18%,IF(B49&lt;=85,21%,24%))))))</x:f>
      </x:c>
      <x:c r="E49" s="43" t="str">
        <x:f>IF(B49="","",ROUND(D49*$C$8,2))</x:f>
      </x:c>
      <x:c r="F49" s="40" t="str">
        <x:f>IF(B49="","",SUM($E$34:E49))</x:f>
      </x:c>
      <x:c r="G49" s="52" t="str">
        <x:f>IF(B49="","",IF(B49&lt;$C$13,IF(H49="",ROUND(105%*SUM($C$34:C49),2),IF(AND(ISNUMBER(H49),H49&gt;=0),MAX(ROUND(105%*SUM($C$34:C49),2),H49),"ตรวจมูลค่าเวนคืน")),MAX(0,ROUND(SUM($C$34:C49)-F49,2))))</x:f>
      </x:c>
      <x:c r="H49" s="50"/>
    </x:row>
    <x:row r="50" ht="23" customHeight="1">
      <x:c r="B50" s="36" t="str">
        <x:f>IF($C$17&lt;&gt;"พร้อมคำนวณ","",IF($C$6+ROW()-34&gt;90,"",$C$6+ROW()-34))</x:f>
      </x:c>
      <x:c r="C50" s="37" t="str">
        <x:f>IF(B50="","",IF(B50-$C$6&lt;$C$12,$C$11,0))</x:f>
      </x:c>
      <x:c r="D50" s="38" t="str">
        <x:f>IF(B50="","",IF(B50&lt;$C$13,0,IF(B50&lt;=70,12%,IF(B50&lt;=75,15%,IF(B50&lt;=80,18%,IF(B50&lt;=85,21%,24%))))))</x:f>
      </x:c>
      <x:c r="E50" s="42" t="str">
        <x:f>IF(B50="","",ROUND(D50*$C$8,2))</x:f>
      </x:c>
      <x:c r="F50" s="37" t="str">
        <x:f>IF(B50="","",SUM($E$34:E50))</x:f>
      </x:c>
      <x:c r="G50" s="42" t="str">
        <x:f>IF(B50="","",IF(B50&lt;$C$13,IF(H50="",ROUND(105%*SUM($C$34:C50),2),IF(AND(ISNUMBER(H50),H50&gt;=0),MAX(ROUND(105%*SUM($C$34:C50),2),H50),"ตรวจมูลค่าเวนคืน")),MAX(0,ROUND(SUM($C$34:C50)-F50,2))))</x:f>
      </x:c>
      <x:c r="H50" s="50"/>
    </x:row>
    <x:row r="51" ht="23" customHeight="1">
      <x:c r="B51" s="39" t="str">
        <x:f>IF($C$17&lt;&gt;"พร้อมคำนวณ","",IF($C$6+ROW()-34&gt;90,"",$C$6+ROW()-34))</x:f>
      </x:c>
      <x:c r="C51" s="40" t="str">
        <x:f>IF(B51="","",IF(B51-$C$6&lt;$C$12,$C$11,0))</x:f>
      </x:c>
      <x:c r="D51" s="41" t="str">
        <x:f>IF(B51="","",IF(B51&lt;$C$13,0,IF(B51&lt;=70,12%,IF(B51&lt;=75,15%,IF(B51&lt;=80,18%,IF(B51&lt;=85,21%,24%))))))</x:f>
      </x:c>
      <x:c r="E51" s="43" t="str">
        <x:f>IF(B51="","",ROUND(D51*$C$8,2))</x:f>
      </x:c>
      <x:c r="F51" s="40" t="str">
        <x:f>IF(B51="","",SUM($E$34:E51))</x:f>
      </x:c>
      <x:c r="G51" s="52" t="str">
        <x:f>IF(B51="","",IF(B51&lt;$C$13,IF(H51="",ROUND(105%*SUM($C$34:C51),2),IF(AND(ISNUMBER(H51),H51&gt;=0),MAX(ROUND(105%*SUM($C$34:C51),2),H51),"ตรวจมูลค่าเวนคืน")),MAX(0,ROUND(SUM($C$34:C51)-F51,2))))</x:f>
      </x:c>
      <x:c r="H51" s="50"/>
    </x:row>
    <x:row r="52" ht="23" customHeight="1">
      <x:c r="B52" s="36" t="str">
        <x:f>IF($C$17&lt;&gt;"พร้อมคำนวณ","",IF($C$6+ROW()-34&gt;90,"",$C$6+ROW()-34))</x:f>
      </x:c>
      <x:c r="C52" s="37" t="str">
        <x:f>IF(B52="","",IF(B52-$C$6&lt;$C$12,$C$11,0))</x:f>
      </x:c>
      <x:c r="D52" s="38" t="str">
        <x:f>IF(B52="","",IF(B52&lt;$C$13,0,IF(B52&lt;=70,12%,IF(B52&lt;=75,15%,IF(B52&lt;=80,18%,IF(B52&lt;=85,21%,24%))))))</x:f>
      </x:c>
      <x:c r="E52" s="42" t="str">
        <x:f>IF(B52="","",ROUND(D52*$C$8,2))</x:f>
      </x:c>
      <x:c r="F52" s="37" t="str">
        <x:f>IF(B52="","",SUM($E$34:E52))</x:f>
      </x:c>
      <x:c r="G52" s="42" t="str">
        <x:f>IF(B52="","",IF(B52&lt;$C$13,IF(H52="",ROUND(105%*SUM($C$34:C52),2),IF(AND(ISNUMBER(H52),H52&gt;=0),MAX(ROUND(105%*SUM($C$34:C52),2),H52),"ตรวจมูลค่าเวนคืน")),MAX(0,ROUND(SUM($C$34:C52)-F52,2))))</x:f>
      </x:c>
      <x:c r="H52" s="50"/>
    </x:row>
    <x:row r="53" ht="23" customHeight="1">
      <x:c r="B53" s="39" t="str">
        <x:f>IF($C$17&lt;&gt;"พร้อมคำนวณ","",IF($C$6+ROW()-34&gt;90,"",$C$6+ROW()-34))</x:f>
      </x:c>
      <x:c r="C53" s="40" t="str">
        <x:f>IF(B53="","",IF(B53-$C$6&lt;$C$12,$C$11,0))</x:f>
      </x:c>
      <x:c r="D53" s="41" t="str">
        <x:f>IF(B53="","",IF(B53&lt;$C$13,0,IF(B53&lt;=70,12%,IF(B53&lt;=75,15%,IF(B53&lt;=80,18%,IF(B53&lt;=85,21%,24%))))))</x:f>
      </x:c>
      <x:c r="E53" s="43" t="str">
        <x:f>IF(B53="","",ROUND(D53*$C$8,2))</x:f>
      </x:c>
      <x:c r="F53" s="40" t="str">
        <x:f>IF(B53="","",SUM($E$34:E53))</x:f>
      </x:c>
      <x:c r="G53" s="52" t="str">
        <x:f>IF(B53="","",IF(B53&lt;$C$13,IF(H53="",ROUND(105%*SUM($C$34:C53),2),IF(AND(ISNUMBER(H53),H53&gt;=0),MAX(ROUND(105%*SUM($C$34:C53),2),H53),"ตรวจมูลค่าเวนคืน")),MAX(0,ROUND(SUM($C$34:C53)-F53,2))))</x:f>
      </x:c>
      <x:c r="H53" s="50"/>
    </x:row>
    <x:row r="54" ht="23" customHeight="1">
      <x:c r="B54" s="36" t="str">
        <x:f>IF($C$17&lt;&gt;"พร้อมคำนวณ","",IF($C$6+ROW()-34&gt;90,"",$C$6+ROW()-34))</x:f>
      </x:c>
      <x:c r="C54" s="37" t="str">
        <x:f>IF(B54="","",IF(B54-$C$6&lt;$C$12,$C$11,0))</x:f>
      </x:c>
      <x:c r="D54" s="38" t="str">
        <x:f>IF(B54="","",IF(B54&lt;$C$13,0,IF(B54&lt;=70,12%,IF(B54&lt;=75,15%,IF(B54&lt;=80,18%,IF(B54&lt;=85,21%,24%))))))</x:f>
      </x:c>
      <x:c r="E54" s="42" t="str">
        <x:f>IF(B54="","",ROUND(D54*$C$8,2))</x:f>
      </x:c>
      <x:c r="F54" s="37" t="str">
        <x:f>IF(B54="","",SUM($E$34:E54))</x:f>
      </x:c>
      <x:c r="G54" s="42" t="str">
        <x:f>IF(B54="","",IF(B54&lt;$C$13,IF(H54="",ROUND(105%*SUM($C$34:C54),2),IF(AND(ISNUMBER(H54),H54&gt;=0),MAX(ROUND(105%*SUM($C$34:C54),2),H54),"ตรวจมูลค่าเวนคืน")),MAX(0,ROUND(SUM($C$34:C54)-F54,2))))</x:f>
      </x:c>
      <x:c r="H54" s="50"/>
    </x:row>
    <x:row r="55" ht="23" customHeight="1">
      <x:c r="B55" s="39" t="str">
        <x:f>IF($C$17&lt;&gt;"พร้อมคำนวณ","",IF($C$6+ROW()-34&gt;90,"",$C$6+ROW()-34))</x:f>
      </x:c>
      <x:c r="C55" s="40" t="str">
        <x:f>IF(B55="","",IF(B55-$C$6&lt;$C$12,$C$11,0))</x:f>
      </x:c>
      <x:c r="D55" s="41" t="str">
        <x:f>IF(B55="","",IF(B55&lt;$C$13,0,IF(B55&lt;=70,12%,IF(B55&lt;=75,15%,IF(B55&lt;=80,18%,IF(B55&lt;=85,21%,24%))))))</x:f>
      </x:c>
      <x:c r="E55" s="43" t="str">
        <x:f>IF(B55="","",ROUND(D55*$C$8,2))</x:f>
      </x:c>
      <x:c r="F55" s="40" t="str">
        <x:f>IF(B55="","",SUM($E$34:E55))</x:f>
      </x:c>
      <x:c r="G55" s="52" t="str">
        <x:f>IF(B55="","",IF(B55&lt;$C$13,IF(H55="",ROUND(105%*SUM($C$34:C55),2),IF(AND(ISNUMBER(H55),H55&gt;=0),MAX(ROUND(105%*SUM($C$34:C55),2),H55),"ตรวจมูลค่าเวนคืน")),MAX(0,ROUND(SUM($C$34:C55)-F55,2))))</x:f>
      </x:c>
      <x:c r="H55" s="50"/>
    </x:row>
    <x:row r="56" ht="23" customHeight="1">
      <x:c r="B56" s="36" t="str">
        <x:f>IF($C$17&lt;&gt;"พร้อมคำนวณ","",IF($C$6+ROW()-34&gt;90,"",$C$6+ROW()-34))</x:f>
      </x:c>
      <x:c r="C56" s="37" t="str">
        <x:f>IF(B56="","",IF(B56-$C$6&lt;$C$12,$C$11,0))</x:f>
      </x:c>
      <x:c r="D56" s="38" t="str">
        <x:f>IF(B56="","",IF(B56&lt;$C$13,0,IF(B56&lt;=70,12%,IF(B56&lt;=75,15%,IF(B56&lt;=80,18%,IF(B56&lt;=85,21%,24%))))))</x:f>
      </x:c>
      <x:c r="E56" s="42" t="str">
        <x:f>IF(B56="","",ROUND(D56*$C$8,2))</x:f>
      </x:c>
      <x:c r="F56" s="37" t="str">
        <x:f>IF(B56="","",SUM($E$34:E56))</x:f>
      </x:c>
      <x:c r="G56" s="42" t="str">
        <x:f>IF(B56="","",IF(B56&lt;$C$13,IF(H56="",ROUND(105%*SUM($C$34:C56),2),IF(AND(ISNUMBER(H56),H56&gt;=0),MAX(ROUND(105%*SUM($C$34:C56),2),H56),"ตรวจมูลค่าเวนคืน")),MAX(0,ROUND(SUM($C$34:C56)-F56,2))))</x:f>
      </x:c>
      <x:c r="H56" s="50"/>
    </x:row>
    <x:row r="57" ht="23" customHeight="1">
      <x:c r="B57" s="39" t="str">
        <x:f>IF($C$17&lt;&gt;"พร้อมคำนวณ","",IF($C$6+ROW()-34&gt;90,"",$C$6+ROW()-34))</x:f>
      </x:c>
      <x:c r="C57" s="40" t="str">
        <x:f>IF(B57="","",IF(B57-$C$6&lt;$C$12,$C$11,0))</x:f>
      </x:c>
      <x:c r="D57" s="41" t="str">
        <x:f>IF(B57="","",IF(B57&lt;$C$13,0,IF(B57&lt;=70,12%,IF(B57&lt;=75,15%,IF(B57&lt;=80,18%,IF(B57&lt;=85,21%,24%))))))</x:f>
      </x:c>
      <x:c r="E57" s="43" t="str">
        <x:f>IF(B57="","",ROUND(D57*$C$8,2))</x:f>
      </x:c>
      <x:c r="F57" s="40" t="str">
        <x:f>IF(B57="","",SUM($E$34:E57))</x:f>
      </x:c>
      <x:c r="G57" s="52" t="str">
        <x:f>IF(B57="","",IF(B57&lt;$C$13,IF(H57="",ROUND(105%*SUM($C$34:C57),2),IF(AND(ISNUMBER(H57),H57&gt;=0),MAX(ROUND(105%*SUM($C$34:C57),2),H57),"ตรวจมูลค่าเวนคืน")),MAX(0,ROUND(SUM($C$34:C57)-F57,2))))</x:f>
      </x:c>
      <x:c r="H57" s="50"/>
    </x:row>
    <x:row r="58" ht="23" customHeight="1">
      <x:c r="B58" s="36" t="str">
        <x:f>IF($C$17&lt;&gt;"พร้อมคำนวณ","",IF($C$6+ROW()-34&gt;90,"",$C$6+ROW()-34))</x:f>
      </x:c>
      <x:c r="C58" s="37" t="str">
        <x:f>IF(B58="","",IF(B58-$C$6&lt;$C$12,$C$11,0))</x:f>
      </x:c>
      <x:c r="D58" s="38" t="str">
        <x:f>IF(B58="","",IF(B58&lt;$C$13,0,IF(B58&lt;=70,12%,IF(B58&lt;=75,15%,IF(B58&lt;=80,18%,IF(B58&lt;=85,21%,24%))))))</x:f>
      </x:c>
      <x:c r="E58" s="42" t="str">
        <x:f>IF(B58="","",ROUND(D58*$C$8,2))</x:f>
      </x:c>
      <x:c r="F58" s="37" t="str">
        <x:f>IF(B58="","",SUM($E$34:E58))</x:f>
      </x:c>
      <x:c r="G58" s="42" t="str">
        <x:f>IF(B58="","",IF(B58&lt;$C$13,IF(H58="",ROUND(105%*SUM($C$34:C58),2),IF(AND(ISNUMBER(H58),H58&gt;=0),MAX(ROUND(105%*SUM($C$34:C58),2),H58),"ตรวจมูลค่าเวนคืน")),MAX(0,ROUND(SUM($C$34:C58)-F58,2))))</x:f>
      </x:c>
      <x:c r="H58" s="50"/>
    </x:row>
    <x:row r="59" ht="23" customHeight="1">
      <x:c r="B59" s="39" t="str">
        <x:f>IF($C$17&lt;&gt;"พร้อมคำนวณ","",IF($C$6+ROW()-34&gt;90,"",$C$6+ROW()-34))</x:f>
      </x:c>
      <x:c r="C59" s="40" t="str">
        <x:f>IF(B59="","",IF(B59-$C$6&lt;$C$12,$C$11,0))</x:f>
      </x:c>
      <x:c r="D59" s="41" t="str">
        <x:f>IF(B59="","",IF(B59&lt;$C$13,0,IF(B59&lt;=70,12%,IF(B59&lt;=75,15%,IF(B59&lt;=80,18%,IF(B59&lt;=85,21%,24%))))))</x:f>
      </x:c>
      <x:c r="E59" s="43" t="str">
        <x:f>IF(B59="","",ROUND(D59*$C$8,2))</x:f>
      </x:c>
      <x:c r="F59" s="40" t="str">
        <x:f>IF(B59="","",SUM($E$34:E59))</x:f>
      </x:c>
      <x:c r="G59" s="52" t="str">
        <x:f>IF(B59="","",IF(B59&lt;$C$13,IF(H59="",ROUND(105%*SUM($C$34:C59),2),IF(AND(ISNUMBER(H59),H59&gt;=0),MAX(ROUND(105%*SUM($C$34:C59),2),H59),"ตรวจมูลค่าเวนคืน")),MAX(0,ROUND(SUM($C$34:C59)-F59,2))))</x:f>
      </x:c>
      <x:c r="H59" s="50"/>
    </x:row>
    <x:row r="60" ht="23" customHeight="1">
      <x:c r="B60" s="36" t="str">
        <x:f>IF($C$17&lt;&gt;"พร้อมคำนวณ","",IF($C$6+ROW()-34&gt;90,"",$C$6+ROW()-34))</x:f>
      </x:c>
      <x:c r="C60" s="37" t="str">
        <x:f>IF(B60="","",IF(B60-$C$6&lt;$C$12,$C$11,0))</x:f>
      </x:c>
      <x:c r="D60" s="38" t="str">
        <x:f>IF(B60="","",IF(B60&lt;$C$13,0,IF(B60&lt;=70,12%,IF(B60&lt;=75,15%,IF(B60&lt;=80,18%,IF(B60&lt;=85,21%,24%))))))</x:f>
      </x:c>
      <x:c r="E60" s="42" t="str">
        <x:f>IF(B60="","",ROUND(D60*$C$8,2))</x:f>
      </x:c>
      <x:c r="F60" s="37" t="str">
        <x:f>IF(B60="","",SUM($E$34:E60))</x:f>
      </x:c>
      <x:c r="G60" s="42" t="str">
        <x:f>IF(B60="","",IF(B60&lt;$C$13,IF(H60="",ROUND(105%*SUM($C$34:C60),2),IF(AND(ISNUMBER(H60),H60&gt;=0),MAX(ROUND(105%*SUM($C$34:C60),2),H60),"ตรวจมูลค่าเวนคืน")),MAX(0,ROUND(SUM($C$34:C60)-F60,2))))</x:f>
      </x:c>
      <x:c r="H60" s="50"/>
    </x:row>
    <x:row r="61" ht="23" customHeight="1">
      <x:c r="B61" s="39" t="str">
        <x:f>IF($C$17&lt;&gt;"พร้อมคำนวณ","",IF($C$6+ROW()-34&gt;90,"",$C$6+ROW()-34))</x:f>
      </x:c>
      <x:c r="C61" s="40" t="str">
        <x:f>IF(B61="","",IF(B61-$C$6&lt;$C$12,$C$11,0))</x:f>
      </x:c>
      <x:c r="D61" s="41" t="str">
        <x:f>IF(B61="","",IF(B61&lt;$C$13,0,IF(B61&lt;=70,12%,IF(B61&lt;=75,15%,IF(B61&lt;=80,18%,IF(B61&lt;=85,21%,24%))))))</x:f>
      </x:c>
      <x:c r="E61" s="43" t="str">
        <x:f>IF(B61="","",ROUND(D61*$C$8,2))</x:f>
      </x:c>
      <x:c r="F61" s="40" t="str">
        <x:f>IF(B61="","",SUM($E$34:E61))</x:f>
      </x:c>
      <x:c r="G61" s="52" t="str">
        <x:f>IF(B61="","",IF(B61&lt;$C$13,IF(H61="",ROUND(105%*SUM($C$34:C61),2),IF(AND(ISNUMBER(H61),H61&gt;=0),MAX(ROUND(105%*SUM($C$34:C61),2),H61),"ตรวจมูลค่าเวนคืน")),MAX(0,ROUND(SUM($C$34:C61)-F61,2))))</x:f>
      </x:c>
      <x:c r="H61" s="50"/>
    </x:row>
    <x:row r="62" ht="23" customHeight="1">
      <x:c r="B62" s="36" t="str">
        <x:f>IF($C$17&lt;&gt;"พร้อมคำนวณ","",IF($C$6+ROW()-34&gt;90,"",$C$6+ROW()-34))</x:f>
      </x:c>
      <x:c r="C62" s="37" t="str">
        <x:f>IF(B62="","",IF(B62-$C$6&lt;$C$12,$C$11,0))</x:f>
      </x:c>
      <x:c r="D62" s="38" t="str">
        <x:f>IF(B62="","",IF(B62&lt;$C$13,0,IF(B62&lt;=70,12%,IF(B62&lt;=75,15%,IF(B62&lt;=80,18%,IF(B62&lt;=85,21%,24%))))))</x:f>
      </x:c>
      <x:c r="E62" s="42" t="str">
        <x:f>IF(B62="","",ROUND(D62*$C$8,2))</x:f>
      </x:c>
      <x:c r="F62" s="37" t="str">
        <x:f>IF(B62="","",SUM($E$34:E62))</x:f>
      </x:c>
      <x:c r="G62" s="42" t="str">
        <x:f>IF(B62="","",IF(B62&lt;$C$13,IF(H62="",ROUND(105%*SUM($C$34:C62),2),IF(AND(ISNUMBER(H62),H62&gt;=0),MAX(ROUND(105%*SUM($C$34:C62),2),H62),"ตรวจมูลค่าเวนคืน")),MAX(0,ROUND(SUM($C$34:C62)-F62,2))))</x:f>
      </x:c>
      <x:c r="H62" s="50"/>
    </x:row>
    <x:row r="63" ht="23" customHeight="1">
      <x:c r="B63" s="39" t="str">
        <x:f>IF($C$17&lt;&gt;"พร้อมคำนวณ","",IF($C$6+ROW()-34&gt;90,"",$C$6+ROW()-34))</x:f>
      </x:c>
      <x:c r="C63" s="40" t="str">
        <x:f>IF(B63="","",IF(B63-$C$6&lt;$C$12,$C$11,0))</x:f>
      </x:c>
      <x:c r="D63" s="41" t="str">
        <x:f>IF(B63="","",IF(B63&lt;$C$13,0,IF(B63&lt;=70,12%,IF(B63&lt;=75,15%,IF(B63&lt;=80,18%,IF(B63&lt;=85,21%,24%))))))</x:f>
      </x:c>
      <x:c r="E63" s="43" t="str">
        <x:f>IF(B63="","",ROUND(D63*$C$8,2))</x:f>
      </x:c>
      <x:c r="F63" s="40" t="str">
        <x:f>IF(B63="","",SUM($E$34:E63))</x:f>
      </x:c>
      <x:c r="G63" s="52" t="str">
        <x:f>IF(B63="","",IF(B63&lt;$C$13,IF(H63="",ROUND(105%*SUM($C$34:C63),2),IF(AND(ISNUMBER(H63),H63&gt;=0),MAX(ROUND(105%*SUM($C$34:C63),2),H63),"ตรวจมูลค่าเวนคืน")),MAX(0,ROUND(SUM($C$34:C63)-F63,2))))</x:f>
      </x:c>
      <x:c r="H63" s="50"/>
    </x:row>
    <x:row r="64" ht="23" customHeight="1">
      <x:c r="B64" s="36" t="str">
        <x:f>IF($C$17&lt;&gt;"พร้อมคำนวณ","",IF($C$6+ROW()-34&gt;90,"",$C$6+ROW()-34))</x:f>
      </x:c>
      <x:c r="C64" s="37" t="str">
        <x:f>IF(B64="","",IF(B64-$C$6&lt;$C$12,$C$11,0))</x:f>
      </x:c>
      <x:c r="D64" s="38" t="str">
        <x:f>IF(B64="","",IF(B64&lt;$C$13,0,IF(B64&lt;=70,12%,IF(B64&lt;=75,15%,IF(B64&lt;=80,18%,IF(B64&lt;=85,21%,24%))))))</x:f>
      </x:c>
      <x:c r="E64" s="42" t="str">
        <x:f>IF(B64="","",ROUND(D64*$C$8,2))</x:f>
      </x:c>
      <x:c r="F64" s="37" t="str">
        <x:f>IF(B64="","",SUM($E$34:E64))</x:f>
      </x:c>
      <x:c r="G64" s="42" t="str">
        <x:f>IF(B64="","",IF(B64&lt;$C$13,IF(H64="",ROUND(105%*SUM($C$34:C64),2),IF(AND(ISNUMBER(H64),H64&gt;=0),MAX(ROUND(105%*SUM($C$34:C64),2),H64),"ตรวจมูลค่าเวนคืน")),MAX(0,ROUND(SUM($C$34:C64)-F64,2))))</x:f>
      </x:c>
      <x:c r="H64" s="50"/>
    </x:row>
    <x:row r="65" ht="23" customHeight="1">
      <x:c r="B65" s="39" t="str">
        <x:f>IF($C$17&lt;&gt;"พร้อมคำนวณ","",IF($C$6+ROW()-34&gt;90,"",$C$6+ROW()-34))</x:f>
      </x:c>
      <x:c r="C65" s="40" t="str">
        <x:f>IF(B65="","",IF(B65-$C$6&lt;$C$12,$C$11,0))</x:f>
      </x:c>
      <x:c r="D65" s="41" t="str">
        <x:f>IF(B65="","",IF(B65&lt;$C$13,0,IF(B65&lt;=70,12%,IF(B65&lt;=75,15%,IF(B65&lt;=80,18%,IF(B65&lt;=85,21%,24%))))))</x:f>
      </x:c>
      <x:c r="E65" s="43" t="str">
        <x:f>IF(B65="","",ROUND(D65*$C$8,2))</x:f>
      </x:c>
      <x:c r="F65" s="40" t="str">
        <x:f>IF(B65="","",SUM($E$34:E65))</x:f>
      </x:c>
      <x:c r="G65" s="52" t="str">
        <x:f>IF(B65="","",IF(B65&lt;$C$13,IF(H65="",ROUND(105%*SUM($C$34:C65),2),IF(AND(ISNUMBER(H65),H65&gt;=0),MAX(ROUND(105%*SUM($C$34:C65),2),H65),"ตรวจมูลค่าเวนคืน")),MAX(0,ROUND(SUM($C$34:C65)-F65,2))))</x:f>
      </x:c>
      <x:c r="H65" s="50"/>
    </x:row>
    <x:row r="66" ht="23" customHeight="1">
      <x:c r="B66" s="36" t="str">
        <x:f>IF($C$17&lt;&gt;"พร้อมคำนวณ","",IF($C$6+ROW()-34&gt;90,"",$C$6+ROW()-34))</x:f>
      </x:c>
      <x:c r="C66" s="37" t="str">
        <x:f>IF(B66="","",IF(B66-$C$6&lt;$C$12,$C$11,0))</x:f>
      </x:c>
      <x:c r="D66" s="38" t="str">
        <x:f>IF(B66="","",IF(B66&lt;$C$13,0,IF(B66&lt;=70,12%,IF(B66&lt;=75,15%,IF(B66&lt;=80,18%,IF(B66&lt;=85,21%,24%))))))</x:f>
      </x:c>
      <x:c r="E66" s="42" t="str">
        <x:f>IF(B66="","",ROUND(D66*$C$8,2))</x:f>
      </x:c>
      <x:c r="F66" s="37" t="str">
        <x:f>IF(B66="","",SUM($E$34:E66))</x:f>
      </x:c>
      <x:c r="G66" s="42" t="str">
        <x:f>IF(B66="","",IF(B66&lt;$C$13,IF(H66="",ROUND(105%*SUM($C$34:C66),2),IF(AND(ISNUMBER(H66),H66&gt;=0),MAX(ROUND(105%*SUM($C$34:C66),2),H66),"ตรวจมูลค่าเวนคืน")),MAX(0,ROUND(SUM($C$34:C66)-F66,2))))</x:f>
      </x:c>
      <x:c r="H66" s="50"/>
    </x:row>
    <x:row r="67" ht="23" customHeight="1">
      <x:c r="B67" s="39" t="str">
        <x:f>IF($C$17&lt;&gt;"พร้อมคำนวณ","",IF($C$6+ROW()-34&gt;90,"",$C$6+ROW()-34))</x:f>
      </x:c>
      <x:c r="C67" s="40" t="str">
        <x:f>IF(B67="","",IF(B67-$C$6&lt;$C$12,$C$11,0))</x:f>
      </x:c>
      <x:c r="D67" s="41" t="str">
        <x:f>IF(B67="","",IF(B67&lt;$C$13,0,IF(B67&lt;=70,12%,IF(B67&lt;=75,15%,IF(B67&lt;=80,18%,IF(B67&lt;=85,21%,24%))))))</x:f>
      </x:c>
      <x:c r="E67" s="43" t="str">
        <x:f>IF(B67="","",ROUND(D67*$C$8,2))</x:f>
      </x:c>
      <x:c r="F67" s="40" t="str">
        <x:f>IF(B67="","",SUM($E$34:E67))</x:f>
      </x:c>
      <x:c r="G67" s="52" t="str">
        <x:f>IF(B67="","",IF(B67&lt;$C$13,IF(H67="",ROUND(105%*SUM($C$34:C67),2),IF(AND(ISNUMBER(H67),H67&gt;=0),MAX(ROUND(105%*SUM($C$34:C67),2),H67),"ตรวจมูลค่าเวนคืน")),MAX(0,ROUND(SUM($C$34:C67)-F67,2))))</x:f>
      </x:c>
      <x:c r="H67" s="50"/>
    </x:row>
    <x:row r="68" ht="23" customHeight="1">
      <x:c r="B68" s="36" t="str">
        <x:f>IF($C$17&lt;&gt;"พร้อมคำนวณ","",IF($C$6+ROW()-34&gt;90,"",$C$6+ROW()-34))</x:f>
      </x:c>
      <x:c r="C68" s="37" t="str">
        <x:f>IF(B68="","",IF(B68-$C$6&lt;$C$12,$C$11,0))</x:f>
      </x:c>
      <x:c r="D68" s="38" t="str">
        <x:f>IF(B68="","",IF(B68&lt;$C$13,0,IF(B68&lt;=70,12%,IF(B68&lt;=75,15%,IF(B68&lt;=80,18%,IF(B68&lt;=85,21%,24%))))))</x:f>
      </x:c>
      <x:c r="E68" s="42" t="str">
        <x:f>IF(B68="","",ROUND(D68*$C$8,2))</x:f>
      </x:c>
      <x:c r="F68" s="37" t="str">
        <x:f>IF(B68="","",SUM($E$34:E68))</x:f>
      </x:c>
      <x:c r="G68" s="42" t="str">
        <x:f>IF(B68="","",IF(B68&lt;$C$13,IF(H68="",ROUND(105%*SUM($C$34:C68),2),IF(AND(ISNUMBER(H68),H68&gt;=0),MAX(ROUND(105%*SUM($C$34:C68),2),H68),"ตรวจมูลค่าเวนคืน")),MAX(0,ROUND(SUM($C$34:C68)-F68,2))))</x:f>
      </x:c>
      <x:c r="H68" s="50"/>
    </x:row>
    <x:row r="69" ht="23" customHeight="1">
      <x:c r="B69" s="39" t="str">
        <x:f>IF($C$17&lt;&gt;"พร้อมคำนวณ","",IF($C$6+ROW()-34&gt;90,"",$C$6+ROW()-34))</x:f>
      </x:c>
      <x:c r="C69" s="40" t="str">
        <x:f>IF(B69="","",IF(B69-$C$6&lt;$C$12,$C$11,0))</x:f>
      </x:c>
      <x:c r="D69" s="41" t="str">
        <x:f>IF(B69="","",IF(B69&lt;$C$13,0,IF(B69&lt;=70,12%,IF(B69&lt;=75,15%,IF(B69&lt;=80,18%,IF(B69&lt;=85,21%,24%))))))</x:f>
      </x:c>
      <x:c r="E69" s="43" t="str">
        <x:f>IF(B69="","",ROUND(D69*$C$8,2))</x:f>
      </x:c>
      <x:c r="F69" s="40" t="str">
        <x:f>IF(B69="","",SUM($E$34:E69))</x:f>
      </x:c>
      <x:c r="G69" s="52" t="str">
        <x:f>IF(B69="","",IF(B69&lt;$C$13,IF(H69="",ROUND(105%*SUM($C$34:C69),2),IF(AND(ISNUMBER(H69),H69&gt;=0),MAX(ROUND(105%*SUM($C$34:C69),2),H69),"ตรวจมูลค่าเวนคืน")),MAX(0,ROUND(SUM($C$34:C69)-F69,2))))</x:f>
      </x:c>
      <x:c r="H69" s="50"/>
    </x:row>
    <x:row r="70" ht="23" customHeight="1">
      <x:c r="B70" s="36" t="str">
        <x:f>IF($C$17&lt;&gt;"พร้อมคำนวณ","",IF($C$6+ROW()-34&gt;90,"",$C$6+ROW()-34))</x:f>
      </x:c>
      <x:c r="C70" s="37" t="str">
        <x:f>IF(B70="","",IF(B70-$C$6&lt;$C$12,$C$11,0))</x:f>
      </x:c>
      <x:c r="D70" s="38" t="str">
        <x:f>IF(B70="","",IF(B70&lt;$C$13,0,IF(B70&lt;=70,12%,IF(B70&lt;=75,15%,IF(B70&lt;=80,18%,IF(B70&lt;=85,21%,24%))))))</x:f>
      </x:c>
      <x:c r="E70" s="42" t="str">
        <x:f>IF(B70="","",ROUND(D70*$C$8,2))</x:f>
      </x:c>
      <x:c r="F70" s="37" t="str">
        <x:f>IF(B70="","",SUM($E$34:E70))</x:f>
      </x:c>
      <x:c r="G70" s="42" t="str">
        <x:f>IF(B70="","",IF(B70&lt;$C$13,IF(H70="",ROUND(105%*SUM($C$34:C70),2),IF(AND(ISNUMBER(H70),H70&gt;=0),MAX(ROUND(105%*SUM($C$34:C70),2),H70),"ตรวจมูลค่าเวนคืน")),MAX(0,ROUND(SUM($C$34:C70)-F70,2))))</x:f>
      </x:c>
      <x:c r="H70" s="50"/>
    </x:row>
    <x:row r="71" ht="23" customHeight="1">
      <x:c r="B71" s="39" t="str">
        <x:f>IF($C$17&lt;&gt;"พร้อมคำนวณ","",IF($C$6+ROW()-34&gt;90,"",$C$6+ROW()-34))</x:f>
      </x:c>
      <x:c r="C71" s="40" t="str">
        <x:f>IF(B71="","",IF(B71-$C$6&lt;$C$12,$C$11,0))</x:f>
      </x:c>
      <x:c r="D71" s="41" t="str">
        <x:f>IF(B71="","",IF(B71&lt;$C$13,0,IF(B71&lt;=70,12%,IF(B71&lt;=75,15%,IF(B71&lt;=80,18%,IF(B71&lt;=85,21%,24%))))))</x:f>
      </x:c>
      <x:c r="E71" s="43" t="str">
        <x:f>IF(B71="","",ROUND(D71*$C$8,2))</x:f>
      </x:c>
      <x:c r="F71" s="40" t="str">
        <x:f>IF(B71="","",SUM($E$34:E71))</x:f>
      </x:c>
      <x:c r="G71" s="52" t="str">
        <x:f>IF(B71="","",IF(B71&lt;$C$13,IF(H71="",ROUND(105%*SUM($C$34:C71),2),IF(AND(ISNUMBER(H71),H71&gt;=0),MAX(ROUND(105%*SUM($C$34:C71),2),H71),"ตรวจมูลค่าเวนคืน")),MAX(0,ROUND(SUM($C$34:C71)-F71,2))))</x:f>
      </x:c>
      <x:c r="H71" s="50"/>
    </x:row>
    <x:row r="72" ht="23" customHeight="1">
      <x:c r="B72" s="36" t="str">
        <x:f>IF($C$17&lt;&gt;"พร้อมคำนวณ","",IF($C$6+ROW()-34&gt;90,"",$C$6+ROW()-34))</x:f>
      </x:c>
      <x:c r="C72" s="37" t="str">
        <x:f>IF(B72="","",IF(B72-$C$6&lt;$C$12,$C$11,0))</x:f>
      </x:c>
      <x:c r="D72" s="38" t="str">
        <x:f>IF(B72="","",IF(B72&lt;$C$13,0,IF(B72&lt;=70,12%,IF(B72&lt;=75,15%,IF(B72&lt;=80,18%,IF(B72&lt;=85,21%,24%))))))</x:f>
      </x:c>
      <x:c r="E72" s="42" t="str">
        <x:f>IF(B72="","",ROUND(D72*$C$8,2))</x:f>
      </x:c>
      <x:c r="F72" s="37" t="str">
        <x:f>IF(B72="","",SUM($E$34:E72))</x:f>
      </x:c>
      <x:c r="G72" s="42" t="str">
        <x:f>IF(B72="","",IF(B72&lt;$C$13,IF(H72="",ROUND(105%*SUM($C$34:C72),2),IF(AND(ISNUMBER(H72),H72&gt;=0),MAX(ROUND(105%*SUM($C$34:C72),2),H72),"ตรวจมูลค่าเวนคืน")),MAX(0,ROUND(SUM($C$34:C72)-F72,2))))</x:f>
      </x:c>
      <x:c r="H72" s="50"/>
    </x:row>
    <x:row r="73" ht="23" customHeight="1">
      <x:c r="B73" s="39" t="str">
        <x:f>IF($C$17&lt;&gt;"พร้อมคำนวณ","",IF($C$6+ROW()-34&gt;90,"",$C$6+ROW()-34))</x:f>
      </x:c>
      <x:c r="C73" s="40" t="str">
        <x:f>IF(B73="","",IF(B73-$C$6&lt;$C$12,$C$11,0))</x:f>
      </x:c>
      <x:c r="D73" s="41" t="str">
        <x:f>IF(B73="","",IF(B73&lt;$C$13,0,IF(B73&lt;=70,12%,IF(B73&lt;=75,15%,IF(B73&lt;=80,18%,IF(B73&lt;=85,21%,24%))))))</x:f>
      </x:c>
      <x:c r="E73" s="43" t="str">
        <x:f>IF(B73="","",ROUND(D73*$C$8,2))</x:f>
      </x:c>
      <x:c r="F73" s="40" t="str">
        <x:f>IF(B73="","",SUM($E$34:E73))</x:f>
      </x:c>
      <x:c r="G73" s="52" t="str">
        <x:f>IF(B73="","",IF(B73&lt;$C$13,IF(H73="",ROUND(105%*SUM($C$34:C73),2),IF(AND(ISNUMBER(H73),H73&gt;=0),MAX(ROUND(105%*SUM($C$34:C73),2),H73),"ตรวจมูลค่าเวนคืน")),MAX(0,ROUND(SUM($C$34:C73)-F73,2))))</x:f>
      </x:c>
      <x:c r="H73" s="50"/>
    </x:row>
    <x:row r="74" ht="23" customHeight="1">
      <x:c r="B74" s="36" t="str">
        <x:f>IF($C$17&lt;&gt;"พร้อมคำนวณ","",IF($C$6+ROW()-34&gt;90,"",$C$6+ROW()-34))</x:f>
      </x:c>
      <x:c r="C74" s="37" t="str">
        <x:f>IF(B74="","",IF(B74-$C$6&lt;$C$12,$C$11,0))</x:f>
      </x:c>
      <x:c r="D74" s="38" t="str">
        <x:f>IF(B74="","",IF(B74&lt;$C$13,0,IF(B74&lt;=70,12%,IF(B74&lt;=75,15%,IF(B74&lt;=80,18%,IF(B74&lt;=85,21%,24%))))))</x:f>
      </x:c>
      <x:c r="E74" s="42" t="str">
        <x:f>IF(B74="","",ROUND(D74*$C$8,2))</x:f>
      </x:c>
      <x:c r="F74" s="37" t="str">
        <x:f>IF(B74="","",SUM($E$34:E74))</x:f>
      </x:c>
      <x:c r="G74" s="42" t="str">
        <x:f>IF(B74="","",IF(B74&lt;$C$13,IF(H74="",ROUND(105%*SUM($C$34:C74),2),IF(AND(ISNUMBER(H74),H74&gt;=0),MAX(ROUND(105%*SUM($C$34:C74),2),H74),"ตรวจมูลค่าเวนคืน")),MAX(0,ROUND(SUM($C$34:C74)-F74,2))))</x:f>
      </x:c>
      <x:c r="H74" s="50"/>
    </x:row>
    <x:row r="75" ht="23" customHeight="1">
      <x:c r="B75" s="39" t="str">
        <x:f>IF($C$17&lt;&gt;"พร้อมคำนวณ","",IF($C$6+ROW()-34&gt;90,"",$C$6+ROW()-34))</x:f>
      </x:c>
      <x:c r="C75" s="40" t="str">
        <x:f>IF(B75="","",IF(B75-$C$6&lt;$C$12,$C$11,0))</x:f>
      </x:c>
      <x:c r="D75" s="41" t="str">
        <x:f>IF(B75="","",IF(B75&lt;$C$13,0,IF(B75&lt;=70,12%,IF(B75&lt;=75,15%,IF(B75&lt;=80,18%,IF(B75&lt;=85,21%,24%))))))</x:f>
      </x:c>
      <x:c r="E75" s="43" t="str">
        <x:f>IF(B75="","",ROUND(D75*$C$8,2))</x:f>
      </x:c>
      <x:c r="F75" s="40" t="str">
        <x:f>IF(B75="","",SUM($E$34:E75))</x:f>
      </x:c>
      <x:c r="G75" s="52" t="str">
        <x:f>IF(B75="","",IF(B75&lt;$C$13,IF(H75="",ROUND(105%*SUM($C$34:C75),2),IF(AND(ISNUMBER(H75),H75&gt;=0),MAX(ROUND(105%*SUM($C$34:C75),2),H75),"ตรวจมูลค่าเวนคืน")),MAX(0,ROUND(SUM($C$34:C75)-F75,2))))</x:f>
      </x:c>
      <x:c r="H75" s="50"/>
    </x:row>
    <x:row r="76" ht="23" customHeight="1">
      <x:c r="B76" s="36" t="str">
        <x:f>IF($C$17&lt;&gt;"พร้อมคำนวณ","",IF($C$6+ROW()-34&gt;90,"",$C$6+ROW()-34))</x:f>
      </x:c>
      <x:c r="C76" s="37" t="str">
        <x:f>IF(B76="","",IF(B76-$C$6&lt;$C$12,$C$11,0))</x:f>
      </x:c>
      <x:c r="D76" s="38" t="str">
        <x:f>IF(B76="","",IF(B76&lt;$C$13,0,IF(B76&lt;=70,12%,IF(B76&lt;=75,15%,IF(B76&lt;=80,18%,IF(B76&lt;=85,21%,24%))))))</x:f>
      </x:c>
      <x:c r="E76" s="42" t="str">
        <x:f>IF(B76="","",ROUND(D76*$C$8,2))</x:f>
      </x:c>
      <x:c r="F76" s="37" t="str">
        <x:f>IF(B76="","",SUM($E$34:E76))</x:f>
      </x:c>
      <x:c r="G76" s="42" t="str">
        <x:f>IF(B76="","",IF(B76&lt;$C$13,IF(H76="",ROUND(105%*SUM($C$34:C76),2),IF(AND(ISNUMBER(H76),H76&gt;=0),MAX(ROUND(105%*SUM($C$34:C76),2),H76),"ตรวจมูลค่าเวนคืน")),MAX(0,ROUND(SUM($C$34:C76)-F76,2))))</x:f>
      </x:c>
      <x:c r="H76" s="50"/>
    </x:row>
    <x:row r="77" ht="23" customHeight="1">
      <x:c r="B77" s="39" t="str">
        <x:f>IF($C$17&lt;&gt;"พร้อมคำนวณ","",IF($C$6+ROW()-34&gt;90,"",$C$6+ROW()-34))</x:f>
      </x:c>
      <x:c r="C77" s="40" t="str">
        <x:f>IF(B77="","",IF(B77-$C$6&lt;$C$12,$C$11,0))</x:f>
      </x:c>
      <x:c r="D77" s="41" t="str">
        <x:f>IF(B77="","",IF(B77&lt;$C$13,0,IF(B77&lt;=70,12%,IF(B77&lt;=75,15%,IF(B77&lt;=80,18%,IF(B77&lt;=85,21%,24%))))))</x:f>
      </x:c>
      <x:c r="E77" s="43" t="str">
        <x:f>IF(B77="","",ROUND(D77*$C$8,2))</x:f>
      </x:c>
      <x:c r="F77" s="40" t="str">
        <x:f>IF(B77="","",SUM($E$34:E77))</x:f>
      </x:c>
      <x:c r="G77" s="52" t="str">
        <x:f>IF(B77="","",IF(B77&lt;$C$13,IF(H77="",ROUND(105%*SUM($C$34:C77),2),IF(AND(ISNUMBER(H77),H77&gt;=0),MAX(ROUND(105%*SUM($C$34:C77),2),H77),"ตรวจมูลค่าเวนคืน")),MAX(0,ROUND(SUM($C$34:C77)-F77,2))))</x:f>
      </x:c>
      <x:c r="H77" s="50"/>
    </x:row>
    <x:row r="78" ht="23" customHeight="1">
      <x:c r="B78" s="36" t="str">
        <x:f>IF($C$17&lt;&gt;"พร้อมคำนวณ","",IF($C$6+ROW()-34&gt;90,"",$C$6+ROW()-34))</x:f>
      </x:c>
      <x:c r="C78" s="37" t="str">
        <x:f>IF(B78="","",IF(B78-$C$6&lt;$C$12,$C$11,0))</x:f>
      </x:c>
      <x:c r="D78" s="38" t="str">
        <x:f>IF(B78="","",IF(B78&lt;$C$13,0,IF(B78&lt;=70,12%,IF(B78&lt;=75,15%,IF(B78&lt;=80,18%,IF(B78&lt;=85,21%,24%))))))</x:f>
      </x:c>
      <x:c r="E78" s="42" t="str">
        <x:f>IF(B78="","",ROUND(D78*$C$8,2))</x:f>
      </x:c>
      <x:c r="F78" s="37" t="str">
        <x:f>IF(B78="","",SUM($E$34:E78))</x:f>
      </x:c>
      <x:c r="G78" s="42" t="str">
        <x:f>IF(B78="","",IF(B78&lt;$C$13,IF(H78="",ROUND(105%*SUM($C$34:C78),2),IF(AND(ISNUMBER(H78),H78&gt;=0),MAX(ROUND(105%*SUM($C$34:C78),2),H78),"ตรวจมูลค่าเวนคืน")),MAX(0,ROUND(SUM($C$34:C78)-F78,2))))</x:f>
      </x:c>
      <x:c r="H78" s="50"/>
    </x:row>
    <x:row r="79" ht="23" customHeight="1">
      <x:c r="B79" s="39" t="str">
        <x:f>IF($C$17&lt;&gt;"พร้อมคำนวณ","",IF($C$6+ROW()-34&gt;90,"",$C$6+ROW()-34))</x:f>
      </x:c>
      <x:c r="C79" s="40" t="str">
        <x:f>IF(B79="","",IF(B79-$C$6&lt;$C$12,$C$11,0))</x:f>
      </x:c>
      <x:c r="D79" s="41" t="str">
        <x:f>IF(B79="","",IF(B79&lt;$C$13,0,IF(B79&lt;=70,12%,IF(B79&lt;=75,15%,IF(B79&lt;=80,18%,IF(B79&lt;=85,21%,24%))))))</x:f>
      </x:c>
      <x:c r="E79" s="43" t="str">
        <x:f>IF(B79="","",ROUND(D79*$C$8,2))</x:f>
      </x:c>
      <x:c r="F79" s="40" t="str">
        <x:f>IF(B79="","",SUM($E$34:E79))</x:f>
      </x:c>
      <x:c r="G79" s="52" t="str">
        <x:f>IF(B79="","",IF(B79&lt;$C$13,IF(H79="",ROUND(105%*SUM($C$34:C79),2),IF(AND(ISNUMBER(H79),H79&gt;=0),MAX(ROUND(105%*SUM($C$34:C79),2),H79),"ตรวจมูลค่าเวนคืน")),MAX(0,ROUND(SUM($C$34:C79)-F79,2))))</x:f>
      </x:c>
      <x:c r="H79" s="50"/>
    </x:row>
    <x:row r="80" ht="23" customHeight="1">
      <x:c r="B80" s="36" t="str">
        <x:f>IF($C$17&lt;&gt;"พร้อมคำนวณ","",IF($C$6+ROW()-34&gt;90,"",$C$6+ROW()-34))</x:f>
      </x:c>
      <x:c r="C80" s="37" t="str">
        <x:f>IF(B80="","",IF(B80-$C$6&lt;$C$12,$C$11,0))</x:f>
      </x:c>
      <x:c r="D80" s="38" t="str">
        <x:f>IF(B80="","",IF(B80&lt;$C$13,0,IF(B80&lt;=70,12%,IF(B80&lt;=75,15%,IF(B80&lt;=80,18%,IF(B80&lt;=85,21%,24%))))))</x:f>
      </x:c>
      <x:c r="E80" s="42" t="str">
        <x:f>IF(B80="","",ROUND(D80*$C$8,2))</x:f>
      </x:c>
      <x:c r="F80" s="37" t="str">
        <x:f>IF(B80="","",SUM($E$34:E80))</x:f>
      </x:c>
      <x:c r="G80" s="42" t="str">
        <x:f>IF(B80="","",IF(B80&lt;$C$13,IF(H80="",ROUND(105%*SUM($C$34:C80),2),IF(AND(ISNUMBER(H80),H80&gt;=0),MAX(ROUND(105%*SUM($C$34:C80),2),H80),"ตรวจมูลค่าเวนคืน")),MAX(0,ROUND(SUM($C$34:C80)-F80,2))))</x:f>
      </x:c>
      <x:c r="H80" s="50"/>
    </x:row>
    <x:row r="81" ht="23" customHeight="1">
      <x:c r="B81" s="39" t="str">
        <x:f>IF($C$17&lt;&gt;"พร้อมคำนวณ","",IF($C$6+ROW()-34&gt;90,"",$C$6+ROW()-34))</x:f>
      </x:c>
      <x:c r="C81" s="40" t="str">
        <x:f>IF(B81="","",IF(B81-$C$6&lt;$C$12,$C$11,0))</x:f>
      </x:c>
      <x:c r="D81" s="41" t="str">
        <x:f>IF(B81="","",IF(B81&lt;$C$13,0,IF(B81&lt;=70,12%,IF(B81&lt;=75,15%,IF(B81&lt;=80,18%,IF(B81&lt;=85,21%,24%))))))</x:f>
      </x:c>
      <x:c r="E81" s="43" t="str">
        <x:f>IF(B81="","",ROUND(D81*$C$8,2))</x:f>
      </x:c>
      <x:c r="F81" s="40" t="str">
        <x:f>IF(B81="","",SUM($E$34:E81))</x:f>
      </x:c>
      <x:c r="G81" s="52" t="str">
        <x:f>IF(B81="","",IF(B81&lt;$C$13,IF(H81="",ROUND(105%*SUM($C$34:C81),2),IF(AND(ISNUMBER(H81),H81&gt;=0),MAX(ROUND(105%*SUM($C$34:C81),2),H81),"ตรวจมูลค่าเวนคืน")),MAX(0,ROUND(SUM($C$34:C81)-F81,2))))</x:f>
      </x:c>
      <x:c r="H81" s="50"/>
    </x:row>
    <x:row r="82" ht="23" customHeight="1">
      <x:c r="B82" s="36" t="str">
        <x:f>IF($C$17&lt;&gt;"พร้อมคำนวณ","",IF($C$6+ROW()-34&gt;90,"",$C$6+ROW()-34))</x:f>
      </x:c>
      <x:c r="C82" s="37" t="str">
        <x:f>IF(B82="","",IF(B82-$C$6&lt;$C$12,$C$11,0))</x:f>
      </x:c>
      <x:c r="D82" s="38" t="str">
        <x:f>IF(B82="","",IF(B82&lt;$C$13,0,IF(B82&lt;=70,12%,IF(B82&lt;=75,15%,IF(B82&lt;=80,18%,IF(B82&lt;=85,21%,24%))))))</x:f>
      </x:c>
      <x:c r="E82" s="42" t="str">
        <x:f>IF(B82="","",ROUND(D82*$C$8,2))</x:f>
      </x:c>
      <x:c r="F82" s="37" t="str">
        <x:f>IF(B82="","",SUM($E$34:E82))</x:f>
      </x:c>
      <x:c r="G82" s="42" t="str">
        <x:f>IF(B82="","",IF(B82&lt;$C$13,IF(H82="",ROUND(105%*SUM($C$34:C82),2),IF(AND(ISNUMBER(H82),H82&gt;=0),MAX(ROUND(105%*SUM($C$34:C82),2),H82),"ตรวจมูลค่าเวนคืน")),MAX(0,ROUND(SUM($C$34:C82)-F82,2))))</x:f>
      </x:c>
      <x:c r="H82" s="50"/>
    </x:row>
    <x:row r="83" ht="23" customHeight="1">
      <x:c r="B83" s="39" t="str">
        <x:f>IF($C$17&lt;&gt;"พร้อมคำนวณ","",IF($C$6+ROW()-34&gt;90,"",$C$6+ROW()-34))</x:f>
      </x:c>
      <x:c r="C83" s="40" t="str">
        <x:f>IF(B83="","",IF(B83-$C$6&lt;$C$12,$C$11,0))</x:f>
      </x:c>
      <x:c r="D83" s="41" t="str">
        <x:f>IF(B83="","",IF(B83&lt;$C$13,0,IF(B83&lt;=70,12%,IF(B83&lt;=75,15%,IF(B83&lt;=80,18%,IF(B83&lt;=85,21%,24%))))))</x:f>
      </x:c>
      <x:c r="E83" s="43" t="str">
        <x:f>IF(B83="","",ROUND(D83*$C$8,2))</x:f>
      </x:c>
      <x:c r="F83" s="40" t="str">
        <x:f>IF(B83="","",SUM($E$34:E83))</x:f>
      </x:c>
      <x:c r="G83" s="52" t="str">
        <x:f>IF(B83="","",IF(B83&lt;$C$13,IF(H83="",ROUND(105%*SUM($C$34:C83),2),IF(AND(ISNUMBER(H83),H83&gt;=0),MAX(ROUND(105%*SUM($C$34:C83),2),H83),"ตรวจมูลค่าเวนคืน")),MAX(0,ROUND(SUM($C$34:C83)-F83,2))))</x:f>
      </x:c>
      <x:c r="H83" s="50"/>
    </x:row>
    <x:row r="84" ht="23" customHeight="1">
      <x:c r="B84" s="36" t="str">
        <x:f>IF($C$17&lt;&gt;"พร้อมคำนวณ","",IF($C$6+ROW()-34&gt;90,"",$C$6+ROW()-34))</x:f>
      </x:c>
      <x:c r="C84" s="37" t="str">
        <x:f>IF(B84="","",IF(B84-$C$6&lt;$C$12,$C$11,0))</x:f>
      </x:c>
      <x:c r="D84" s="38" t="str">
        <x:f>IF(B84="","",IF(B84&lt;$C$13,0,IF(B84&lt;=70,12%,IF(B84&lt;=75,15%,IF(B84&lt;=80,18%,IF(B84&lt;=85,21%,24%))))))</x:f>
      </x:c>
      <x:c r="E84" s="42" t="str">
        <x:f>IF(B84="","",ROUND(D84*$C$8,2))</x:f>
      </x:c>
      <x:c r="F84" s="37" t="str">
        <x:f>IF(B84="","",SUM($E$34:E84))</x:f>
      </x:c>
      <x:c r="G84" s="42" t="str">
        <x:f>IF(B84="","",IF(B84&lt;$C$13,IF(H84="",ROUND(105%*SUM($C$34:C84),2),IF(AND(ISNUMBER(H84),H84&gt;=0),MAX(ROUND(105%*SUM($C$34:C84),2),H84),"ตรวจมูลค่าเวนคืน")),MAX(0,ROUND(SUM($C$34:C84)-F84,2))))</x:f>
      </x:c>
      <x:c r="H84" s="50"/>
    </x:row>
    <x:row r="85" ht="23" customHeight="1">
      <x:c r="B85" s="39" t="str">
        <x:f>IF($C$17&lt;&gt;"พร้อมคำนวณ","",IF($C$6+ROW()-34&gt;90,"",$C$6+ROW()-34))</x:f>
      </x:c>
      <x:c r="C85" s="40" t="str">
        <x:f>IF(B85="","",IF(B85-$C$6&lt;$C$12,$C$11,0))</x:f>
      </x:c>
      <x:c r="D85" s="41" t="str">
        <x:f>IF(B85="","",IF(B85&lt;$C$13,0,IF(B85&lt;=70,12%,IF(B85&lt;=75,15%,IF(B85&lt;=80,18%,IF(B85&lt;=85,21%,24%))))))</x:f>
      </x:c>
      <x:c r="E85" s="43" t="str">
        <x:f>IF(B85="","",ROUND(D85*$C$8,2))</x:f>
      </x:c>
      <x:c r="F85" s="40" t="str">
        <x:f>IF(B85="","",SUM($E$34:E85))</x:f>
      </x:c>
      <x:c r="G85" s="52" t="str">
        <x:f>IF(B85="","",IF(B85&lt;$C$13,IF(H85="",ROUND(105%*SUM($C$34:C85),2),IF(AND(ISNUMBER(H85),H85&gt;=0),MAX(ROUND(105%*SUM($C$34:C85),2),H85),"ตรวจมูลค่าเวนคืน")),MAX(0,ROUND(SUM($C$34:C85)-F85,2))))</x:f>
      </x:c>
      <x:c r="H85" s="50"/>
    </x:row>
    <x:row r="86" ht="23" customHeight="1">
      <x:c r="B86" s="36" t="str">
        <x:f>IF($C$17&lt;&gt;"พร้อมคำนวณ","",IF($C$6+ROW()-34&gt;90,"",$C$6+ROW()-34))</x:f>
      </x:c>
      <x:c r="C86" s="37" t="str">
        <x:f>IF(B86="","",IF(B86-$C$6&lt;$C$12,$C$11,0))</x:f>
      </x:c>
      <x:c r="D86" s="38" t="str">
        <x:f>IF(B86="","",IF(B86&lt;$C$13,0,IF(B86&lt;=70,12%,IF(B86&lt;=75,15%,IF(B86&lt;=80,18%,IF(B86&lt;=85,21%,24%))))))</x:f>
      </x:c>
      <x:c r="E86" s="42" t="str">
        <x:f>IF(B86="","",ROUND(D86*$C$8,2))</x:f>
      </x:c>
      <x:c r="F86" s="37" t="str">
        <x:f>IF(B86="","",SUM($E$34:E86))</x:f>
      </x:c>
      <x:c r="G86" s="42" t="str">
        <x:f>IF(B86="","",IF(B86&lt;$C$13,IF(H86="",ROUND(105%*SUM($C$34:C86),2),IF(AND(ISNUMBER(H86),H86&gt;=0),MAX(ROUND(105%*SUM($C$34:C86),2),H86),"ตรวจมูลค่าเวนคืน")),MAX(0,ROUND(SUM($C$34:C86)-F86,2))))</x:f>
      </x:c>
      <x:c r="H86" s="50"/>
    </x:row>
    <x:row r="87" ht="23" customHeight="1">
      <x:c r="B87" s="39" t="str">
        <x:f>IF($C$17&lt;&gt;"พร้อมคำนวณ","",IF($C$6+ROW()-34&gt;90,"",$C$6+ROW()-34))</x:f>
      </x:c>
      <x:c r="C87" s="40" t="str">
        <x:f>IF(B87="","",IF(B87-$C$6&lt;$C$12,$C$11,0))</x:f>
      </x:c>
      <x:c r="D87" s="41" t="str">
        <x:f>IF(B87="","",IF(B87&lt;$C$13,0,IF(B87&lt;=70,12%,IF(B87&lt;=75,15%,IF(B87&lt;=80,18%,IF(B87&lt;=85,21%,24%))))))</x:f>
      </x:c>
      <x:c r="E87" s="43" t="str">
        <x:f>IF(B87="","",ROUND(D87*$C$8,2))</x:f>
      </x:c>
      <x:c r="F87" s="40" t="str">
        <x:f>IF(B87="","",SUM($E$34:E87))</x:f>
      </x:c>
      <x:c r="G87" s="52" t="str">
        <x:f>IF(B87="","",IF(B87&lt;$C$13,IF(H87="",ROUND(105%*SUM($C$34:C87),2),IF(AND(ISNUMBER(H87),H87&gt;=0),MAX(ROUND(105%*SUM($C$34:C87),2),H87),"ตรวจมูลค่าเวนคืน")),MAX(0,ROUND(SUM($C$34:C87)-F87,2))))</x:f>
      </x:c>
      <x:c r="H87" s="50"/>
    </x:row>
    <x:row r="88" ht="23" customHeight="1">
      <x:c r="B88" s="36" t="str">
        <x:f>IF($C$17&lt;&gt;"พร้อมคำนวณ","",IF($C$6+ROW()-34&gt;90,"",$C$6+ROW()-34))</x:f>
      </x:c>
      <x:c r="C88" s="37" t="str">
        <x:f>IF(B88="","",IF(B88-$C$6&lt;$C$12,$C$11,0))</x:f>
      </x:c>
      <x:c r="D88" s="38" t="str">
        <x:f>IF(B88="","",IF(B88&lt;$C$13,0,IF(B88&lt;=70,12%,IF(B88&lt;=75,15%,IF(B88&lt;=80,18%,IF(B88&lt;=85,21%,24%))))))</x:f>
      </x:c>
      <x:c r="E88" s="42" t="str">
        <x:f>IF(B88="","",ROUND(D88*$C$8,2))</x:f>
      </x:c>
      <x:c r="F88" s="37" t="str">
        <x:f>IF(B88="","",SUM($E$34:E88))</x:f>
      </x:c>
      <x:c r="G88" s="42" t="str">
        <x:f>IF(B88="","",IF(B88&lt;$C$13,IF(H88="",ROUND(105%*SUM($C$34:C88),2),IF(AND(ISNUMBER(H88),H88&gt;=0),MAX(ROUND(105%*SUM($C$34:C88),2),H88),"ตรวจมูลค่าเวนคืน")),MAX(0,ROUND(SUM($C$34:C88)-F88,2))))</x:f>
      </x:c>
      <x:c r="H88" s="50"/>
    </x:row>
    <x:row r="89" ht="23" customHeight="1">
      <x:c r="B89" s="39" t="str">
        <x:f>IF($C$17&lt;&gt;"พร้อมคำนวณ","",IF($C$6+ROW()-34&gt;90,"",$C$6+ROW()-34))</x:f>
      </x:c>
      <x:c r="C89" s="40" t="str">
        <x:f>IF(B89="","",IF(B89-$C$6&lt;$C$12,$C$11,0))</x:f>
      </x:c>
      <x:c r="D89" s="41" t="str">
        <x:f>IF(B89="","",IF(B89&lt;$C$13,0,IF(B89&lt;=70,12%,IF(B89&lt;=75,15%,IF(B89&lt;=80,18%,IF(B89&lt;=85,21%,24%))))))</x:f>
      </x:c>
      <x:c r="E89" s="43" t="str">
        <x:f>IF(B89="","",ROUND(D89*$C$8,2))</x:f>
      </x:c>
      <x:c r="F89" s="40" t="str">
        <x:f>IF(B89="","",SUM($E$34:E89))</x:f>
      </x:c>
      <x:c r="G89" s="52" t="str">
        <x:f>IF(B89="","",IF(B89&lt;$C$13,IF(H89="",ROUND(105%*SUM($C$34:C89),2),IF(AND(ISNUMBER(H89),H89&gt;=0),MAX(ROUND(105%*SUM($C$34:C89),2),H89),"ตรวจมูลค่าเวนคืน")),MAX(0,ROUND(SUM($C$34:C89)-F89,2))))</x:f>
      </x:c>
      <x:c r="H89" s="50"/>
    </x:row>
    <x:row r="90" ht="23" customHeight="1">
      <x:c r="B90" s="36" t="str">
        <x:f>IF($C$17&lt;&gt;"พร้อมคำนวณ","",IF($C$6+ROW()-34&gt;90,"",$C$6+ROW()-34))</x:f>
      </x:c>
      <x:c r="C90" s="37" t="str">
        <x:f>IF(B90="","",IF(B90-$C$6&lt;$C$12,$C$11,0))</x:f>
      </x:c>
      <x:c r="D90" s="38" t="str">
        <x:f>IF(B90="","",IF(B90&lt;$C$13,0,IF(B90&lt;=70,12%,IF(B90&lt;=75,15%,IF(B90&lt;=80,18%,IF(B90&lt;=85,21%,24%))))))</x:f>
      </x:c>
      <x:c r="E90" s="42" t="str">
        <x:f>IF(B90="","",ROUND(D90*$C$8,2))</x:f>
      </x:c>
      <x:c r="F90" s="37" t="str">
        <x:f>IF(B90="","",SUM($E$34:E90))</x:f>
      </x:c>
      <x:c r="G90" s="42" t="str">
        <x:f>IF(B90="","",IF(B90&lt;$C$13,IF(H90="",ROUND(105%*SUM($C$34:C90),2),IF(AND(ISNUMBER(H90),H90&gt;=0),MAX(ROUND(105%*SUM($C$34:C90),2),H90),"ตรวจมูลค่าเวนคืน")),MAX(0,ROUND(SUM($C$34:C90)-F90,2))))</x:f>
      </x:c>
      <x:c r="H90" s="50"/>
    </x:row>
    <x:row r="91" ht="23" customHeight="1">
      <x:c r="B91" s="39" t="str">
        <x:f>IF($C$17&lt;&gt;"พร้อมคำนวณ","",IF($C$6+ROW()-34&gt;90,"",$C$6+ROW()-34))</x:f>
      </x:c>
      <x:c r="C91" s="40" t="str">
        <x:f>IF(B91="","",IF(B91-$C$6&lt;$C$12,$C$11,0))</x:f>
      </x:c>
      <x:c r="D91" s="41" t="str">
        <x:f>IF(B91="","",IF(B91&lt;$C$13,0,IF(B91&lt;=70,12%,IF(B91&lt;=75,15%,IF(B91&lt;=80,18%,IF(B91&lt;=85,21%,24%))))))</x:f>
      </x:c>
      <x:c r="E91" s="43" t="str">
        <x:f>IF(B91="","",ROUND(D91*$C$8,2))</x:f>
      </x:c>
      <x:c r="F91" s="40" t="str">
        <x:f>IF(B91="","",SUM($E$34:E91))</x:f>
      </x:c>
      <x:c r="G91" s="52" t="str">
        <x:f>IF(B91="","",IF(B91&lt;$C$13,IF(H91="",ROUND(105%*SUM($C$34:C91),2),IF(AND(ISNUMBER(H91),H91&gt;=0),MAX(ROUND(105%*SUM($C$34:C91),2),H91),"ตรวจมูลค่าเวนคืน")),MAX(0,ROUND(SUM($C$34:C91)-F91,2))))</x:f>
      </x:c>
      <x:c r="H91" s="50"/>
    </x:row>
    <x:row r="92" ht="23" customHeight="1">
      <x:c r="B92" s="36" t="str">
        <x:f>IF($C$17&lt;&gt;"พร้อมคำนวณ","",IF($C$6+ROW()-34&gt;90,"",$C$6+ROW()-34))</x:f>
      </x:c>
      <x:c r="C92" s="37" t="str">
        <x:f>IF(B92="","",IF(B92-$C$6&lt;$C$12,$C$11,0))</x:f>
      </x:c>
      <x:c r="D92" s="38" t="str">
        <x:f>IF(B92="","",IF(B92&lt;$C$13,0,IF(B92&lt;=70,12%,IF(B92&lt;=75,15%,IF(B92&lt;=80,18%,IF(B92&lt;=85,21%,24%))))))</x:f>
      </x:c>
      <x:c r="E92" s="42" t="str">
        <x:f>IF(B92="","",ROUND(D92*$C$8,2))</x:f>
      </x:c>
      <x:c r="F92" s="37" t="str">
        <x:f>IF(B92="","",SUM($E$34:E92))</x:f>
      </x:c>
      <x:c r="G92" s="42" t="str">
        <x:f>IF(B92="","",IF(B92&lt;$C$13,IF(H92="",ROUND(105%*SUM($C$34:C92),2),IF(AND(ISNUMBER(H92),H92&gt;=0),MAX(ROUND(105%*SUM($C$34:C92),2),H92),"ตรวจมูลค่าเวนคืน")),MAX(0,ROUND(SUM($C$34:C92)-F92,2))))</x:f>
      </x:c>
      <x:c r="H92" s="50"/>
    </x:row>
    <x:row r="93" ht="23" customHeight="1">
      <x:c r="B93" s="39" t="str">
        <x:f>IF($C$17&lt;&gt;"พร้อมคำนวณ","",IF($C$6+ROW()-34&gt;90,"",$C$6+ROW()-34))</x:f>
      </x:c>
      <x:c r="C93" s="40" t="str">
        <x:f>IF(B93="","",IF(B93-$C$6&lt;$C$12,$C$11,0))</x:f>
      </x:c>
      <x:c r="D93" s="41" t="str">
        <x:f>IF(B93="","",IF(B93&lt;$C$13,0,IF(B93&lt;=70,12%,IF(B93&lt;=75,15%,IF(B93&lt;=80,18%,IF(B93&lt;=85,21%,24%))))))</x:f>
      </x:c>
      <x:c r="E93" s="43" t="str">
        <x:f>IF(B93="","",ROUND(D93*$C$8,2))</x:f>
      </x:c>
      <x:c r="F93" s="40" t="str">
        <x:f>IF(B93="","",SUM($E$34:E93))</x:f>
      </x:c>
      <x:c r="G93" s="52" t="str">
        <x:f>IF(B93="","",IF(B93&lt;$C$13,IF(H93="",ROUND(105%*SUM($C$34:C93),2),IF(AND(ISNUMBER(H93),H93&gt;=0),MAX(ROUND(105%*SUM($C$34:C93),2),H93),"ตรวจมูลค่าเวนคืน")),MAX(0,ROUND(SUM($C$34:C93)-F93,2))))</x:f>
      </x:c>
      <x:c r="H93" s="50"/>
    </x:row>
    <x:row r="94" ht="23" customHeight="1">
      <x:c r="B94" s="36" t="str">
        <x:f>IF($C$17&lt;&gt;"พร้อมคำนวณ","",IF($C$6+ROW()-34&gt;90,"",$C$6+ROW()-34))</x:f>
      </x:c>
      <x:c r="C94" s="37" t="str">
        <x:f>IF(B94="","",IF(B94-$C$6&lt;$C$12,$C$11,0))</x:f>
      </x:c>
      <x:c r="D94" s="38" t="str">
        <x:f>IF(B94="","",IF(B94&lt;$C$13,0,IF(B94&lt;=70,12%,IF(B94&lt;=75,15%,IF(B94&lt;=80,18%,IF(B94&lt;=85,21%,24%))))))</x:f>
      </x:c>
      <x:c r="E94" s="42" t="str">
        <x:f>IF(B94="","",ROUND(D94*$C$8,2))</x:f>
      </x:c>
      <x:c r="F94" s="37" t="str">
        <x:f>IF(B94="","",SUM($E$34:E94))</x:f>
      </x:c>
      <x:c r="G94" s="42" t="str">
        <x:f>IF(B94="","",IF(B94&lt;$C$13,IF(H94="",ROUND(105%*SUM($C$34:C94),2),IF(AND(ISNUMBER(H94),H94&gt;=0),MAX(ROUND(105%*SUM($C$34:C94),2),H94),"ตรวจมูลค่าเวนคืน")),MAX(0,ROUND(SUM($C$34:C94)-F94,2))))</x:f>
      </x:c>
      <x:c r="H94" s="50"/>
    </x:row>
    <x:row r="95" ht="23" customHeight="1">
      <x:c r="B95" s="39" t="str">
        <x:f>IF($C$17&lt;&gt;"พร้อมคำนวณ","",IF($C$6+ROW()-34&gt;90,"",$C$6+ROW()-34))</x:f>
      </x:c>
      <x:c r="C95" s="40" t="str">
        <x:f>IF(B95="","",IF(B95-$C$6&lt;$C$12,$C$11,0))</x:f>
      </x:c>
      <x:c r="D95" s="41" t="str">
        <x:f>IF(B95="","",IF(B95&lt;$C$13,0,IF(B95&lt;=70,12%,IF(B95&lt;=75,15%,IF(B95&lt;=80,18%,IF(B95&lt;=85,21%,24%))))))</x:f>
      </x:c>
      <x:c r="E95" s="43" t="str">
        <x:f>IF(B95="","",ROUND(D95*$C$8,2))</x:f>
      </x:c>
      <x:c r="F95" s="40" t="str">
        <x:f>IF(B95="","",SUM($E$34:E95))</x:f>
      </x:c>
      <x:c r="G95" s="52" t="str">
        <x:f>IF(B95="","",IF(B95&lt;$C$13,IF(H95="",ROUND(105%*SUM($C$34:C95),2),IF(AND(ISNUMBER(H95),H95&gt;=0),MAX(ROUND(105%*SUM($C$34:C95),2),H95),"ตรวจมูลค่าเวนคืน")),MAX(0,ROUND(SUM($C$34:C95)-F95,2))))</x:f>
      </x:c>
      <x:c r="H95" s="50"/>
    </x:row>
    <x:row r="96" ht="23" customHeight="1">
      <x:c r="B96" s="36" t="str">
        <x:f>IF($C$17&lt;&gt;"พร้อมคำนวณ","",IF($C$6+ROW()-34&gt;90,"",$C$6+ROW()-34))</x:f>
      </x:c>
      <x:c r="C96" s="37" t="str">
        <x:f>IF(B96="","",IF(B96-$C$6&lt;$C$12,$C$11,0))</x:f>
      </x:c>
      <x:c r="D96" s="38" t="str">
        <x:f>IF(B96="","",IF(B96&lt;$C$13,0,IF(B96&lt;=70,12%,IF(B96&lt;=75,15%,IF(B96&lt;=80,18%,IF(B96&lt;=85,21%,24%))))))</x:f>
      </x:c>
      <x:c r="E96" s="42" t="str">
        <x:f>IF(B96="","",ROUND(D96*$C$8,2))</x:f>
      </x:c>
      <x:c r="F96" s="37" t="str">
        <x:f>IF(B96="","",SUM($E$34:E96))</x:f>
      </x:c>
      <x:c r="G96" s="42" t="str">
        <x:f>IF(B96="","",IF(B96&lt;$C$13,IF(H96="",ROUND(105%*SUM($C$34:C96),2),IF(AND(ISNUMBER(H96),H96&gt;=0),MAX(ROUND(105%*SUM($C$34:C96),2),H96),"ตรวจมูลค่าเวนคืน")),MAX(0,ROUND(SUM($C$34:C96)-F96,2))))</x:f>
      </x:c>
      <x:c r="H96" s="50"/>
    </x:row>
    <x:row r="97" ht="23" customHeight="1">
      <x:c r="B97" s="39" t="str">
        <x:f>IF($C$17&lt;&gt;"พร้อมคำนวณ","",IF($C$6+ROW()-34&gt;90,"",$C$6+ROW()-34))</x:f>
      </x:c>
      <x:c r="C97" s="40" t="str">
        <x:f>IF(B97="","",IF(B97-$C$6&lt;$C$12,$C$11,0))</x:f>
      </x:c>
      <x:c r="D97" s="41" t="str">
        <x:f>IF(B97="","",IF(B97&lt;$C$13,0,IF(B97&lt;=70,12%,IF(B97&lt;=75,15%,IF(B97&lt;=80,18%,IF(B97&lt;=85,21%,24%))))))</x:f>
      </x:c>
      <x:c r="E97" s="43" t="str">
        <x:f>IF(B97="","",ROUND(D97*$C$8,2))</x:f>
      </x:c>
      <x:c r="F97" s="40" t="str">
        <x:f>IF(B97="","",SUM($E$34:E97))</x:f>
      </x:c>
      <x:c r="G97" s="52" t="str">
        <x:f>IF(B97="","",IF(B97&lt;$C$13,IF(H97="",ROUND(105%*SUM($C$34:C97),2),IF(AND(ISNUMBER(H97),H97&gt;=0),MAX(ROUND(105%*SUM($C$34:C97),2),H97),"ตรวจมูลค่าเวนคืน")),MAX(0,ROUND(SUM($C$34:C97)-F97,2))))</x:f>
      </x:c>
      <x:c r="H97" s="50"/>
    </x:row>
    <x:row r="98" ht="23" customHeight="1">
      <x:c r="B98" s="36" t="str">
        <x:f>IF($C$17&lt;&gt;"พร้อมคำนวณ","",IF($C$6+ROW()-34&gt;90,"",$C$6+ROW()-34))</x:f>
      </x:c>
      <x:c r="C98" s="37" t="str">
        <x:f>IF(B98="","",IF(B98-$C$6&lt;$C$12,$C$11,0))</x:f>
      </x:c>
      <x:c r="D98" s="38" t="str">
        <x:f>IF(B98="","",IF(B98&lt;$C$13,0,IF(B98&lt;=70,12%,IF(B98&lt;=75,15%,IF(B98&lt;=80,18%,IF(B98&lt;=85,21%,24%))))))</x:f>
      </x:c>
      <x:c r="E98" s="42" t="str">
        <x:f>IF(B98="","",ROUND(D98*$C$8,2))</x:f>
      </x:c>
      <x:c r="F98" s="37" t="str">
        <x:f>IF(B98="","",SUM($E$34:E98))</x:f>
      </x:c>
      <x:c r="G98" s="42" t="str">
        <x:f>IF(B98="","",IF(B98&lt;$C$13,IF(H98="",ROUND(105%*SUM($C$34:C98),2),IF(AND(ISNUMBER(H98),H98&gt;=0),MAX(ROUND(105%*SUM($C$34:C98),2),H98),"ตรวจมูลค่าเวนคืน")),MAX(0,ROUND(SUM($C$34:C98)-F98,2))))</x:f>
      </x:c>
      <x:c r="H98" s="50"/>
    </x:row>
    <x:row r="99" ht="23" customHeight="1">
      <x:c r="B99" s="39" t="str">
        <x:f>IF($C$17&lt;&gt;"พร้อมคำนวณ","",IF($C$6+ROW()-34&gt;90,"",$C$6+ROW()-34))</x:f>
      </x:c>
      <x:c r="C99" s="40" t="str">
        <x:f>IF(B99="","",IF(B99-$C$6&lt;$C$12,$C$11,0))</x:f>
      </x:c>
      <x:c r="D99" s="41" t="str">
        <x:f>IF(B99="","",IF(B99&lt;$C$13,0,IF(B99&lt;=70,12%,IF(B99&lt;=75,15%,IF(B99&lt;=80,18%,IF(B99&lt;=85,21%,24%))))))</x:f>
      </x:c>
      <x:c r="E99" s="43" t="str">
        <x:f>IF(B99="","",ROUND(D99*$C$8,2))</x:f>
      </x:c>
      <x:c r="F99" s="40" t="str">
        <x:f>IF(B99="","",SUM($E$34:E99))</x:f>
      </x:c>
      <x:c r="G99" s="52" t="str">
        <x:f>IF(B99="","",IF(B99&lt;$C$13,IF(H99="",ROUND(105%*SUM($C$34:C99),2),IF(AND(ISNUMBER(H99),H99&gt;=0),MAX(ROUND(105%*SUM($C$34:C99),2),H99),"ตรวจมูลค่าเวนคืน")),MAX(0,ROUND(SUM($C$34:C99)-F99,2))))</x:f>
      </x:c>
      <x:c r="H99" s="50"/>
    </x:row>
    <x:row r="100" ht="23" customHeight="1">
      <x:c r="B100" s="36" t="str">
        <x:f>IF($C$17&lt;&gt;"พร้อมคำนวณ","",IF($C$6+ROW()-34&gt;90,"",$C$6+ROW()-34))</x:f>
      </x:c>
      <x:c r="C100" s="37" t="str">
        <x:f>IF(B100="","",IF(B100-$C$6&lt;$C$12,$C$11,0))</x:f>
      </x:c>
      <x:c r="D100" s="38" t="str">
        <x:f>IF(B100="","",IF(B100&lt;$C$13,0,IF(B100&lt;=70,12%,IF(B100&lt;=75,15%,IF(B100&lt;=80,18%,IF(B100&lt;=85,21%,24%))))))</x:f>
      </x:c>
      <x:c r="E100" s="42" t="str">
        <x:f>IF(B100="","",ROUND(D100*$C$8,2))</x:f>
      </x:c>
      <x:c r="F100" s="37" t="str">
        <x:f>IF(B100="","",SUM($E$34:E100))</x:f>
      </x:c>
      <x:c r="G100" s="42" t="str">
        <x:f>IF(B100="","",IF(B100&lt;$C$13,IF(H100="",ROUND(105%*SUM($C$34:C100),2),IF(AND(ISNUMBER(H100),H100&gt;=0),MAX(ROUND(105%*SUM($C$34:C100),2),H100),"ตรวจมูลค่าเวนคืน")),MAX(0,ROUND(SUM($C$34:C100)-F100,2))))</x:f>
      </x:c>
      <x:c r="H100" s="50"/>
    </x:row>
    <x:row r="101" ht="23" customHeight="1">
      <x:c r="B101" s="39" t="str">
        <x:f>IF($C$17&lt;&gt;"พร้อมคำนวณ","",IF($C$6+ROW()-34&gt;90,"",$C$6+ROW()-34))</x:f>
      </x:c>
      <x:c r="C101" s="40" t="str">
        <x:f>IF(B101="","",IF(B101-$C$6&lt;$C$12,$C$11,0))</x:f>
      </x:c>
      <x:c r="D101" s="41" t="str">
        <x:f>IF(B101="","",IF(B101&lt;$C$13,0,IF(B101&lt;=70,12%,IF(B101&lt;=75,15%,IF(B101&lt;=80,18%,IF(B101&lt;=85,21%,24%))))))</x:f>
      </x:c>
      <x:c r="E101" s="43" t="str">
        <x:f>IF(B101="","",ROUND(D101*$C$8,2))</x:f>
      </x:c>
      <x:c r="F101" s="40" t="str">
        <x:f>IF(B101="","",SUM($E$34:E101))</x:f>
      </x:c>
      <x:c r="G101" s="52" t="str">
        <x:f>IF(B101="","",IF(B101&lt;$C$13,IF(H101="",ROUND(105%*SUM($C$34:C101),2),IF(AND(ISNUMBER(H101),H101&gt;=0),MAX(ROUND(105%*SUM($C$34:C101),2),H101),"ตรวจมูลค่าเวนคืน")),MAX(0,ROUND(SUM($C$34:C101)-F101,2))))</x:f>
      </x:c>
      <x:c r="H101" s="50"/>
    </x:row>
    <x:row r="102" ht="23" customHeight="1">
      <x:c r="B102" s="36" t="str">
        <x:f>IF($C$17&lt;&gt;"พร้อมคำนวณ","",IF($C$6+ROW()-34&gt;90,"",$C$6+ROW()-34))</x:f>
      </x:c>
      <x:c r="C102" s="37" t="str">
        <x:f>IF(B102="","",IF(B102-$C$6&lt;$C$12,$C$11,0))</x:f>
      </x:c>
      <x:c r="D102" s="38" t="str">
        <x:f>IF(B102="","",IF(B102&lt;$C$13,0,IF(B102&lt;=70,12%,IF(B102&lt;=75,15%,IF(B102&lt;=80,18%,IF(B102&lt;=85,21%,24%))))))</x:f>
      </x:c>
      <x:c r="E102" s="42" t="str">
        <x:f>IF(B102="","",ROUND(D102*$C$8,2))</x:f>
      </x:c>
      <x:c r="F102" s="37" t="str">
        <x:f>IF(B102="","",SUM($E$34:E102))</x:f>
      </x:c>
      <x:c r="G102" s="42" t="str">
        <x:f>IF(B102="","",IF(B102&lt;$C$13,IF(H102="",ROUND(105%*SUM($C$34:C102),2),IF(AND(ISNUMBER(H102),H102&gt;=0),MAX(ROUND(105%*SUM($C$34:C102),2),H102),"ตรวจมูลค่าเวนคืน")),MAX(0,ROUND(SUM($C$34:C102)-F102,2))))</x:f>
      </x:c>
      <x:c r="H102" s="50"/>
    </x:row>
    <x:row r="103" ht="23" customHeight="1">
      <x:c r="B103" s="39" t="str">
        <x:f>IF($C$17&lt;&gt;"พร้อมคำนวณ","",IF($C$6+ROW()-34&gt;90,"",$C$6+ROW()-34))</x:f>
      </x:c>
      <x:c r="C103" s="40" t="str">
        <x:f>IF(B103="","",IF(B103-$C$6&lt;$C$12,$C$11,0))</x:f>
      </x:c>
      <x:c r="D103" s="41" t="str">
        <x:f>IF(B103="","",IF(B103&lt;$C$13,0,IF(B103&lt;=70,12%,IF(B103&lt;=75,15%,IF(B103&lt;=80,18%,IF(B103&lt;=85,21%,24%))))))</x:f>
      </x:c>
      <x:c r="E103" s="43" t="str">
        <x:f>IF(B103="","",ROUND(D103*$C$8,2))</x:f>
      </x:c>
      <x:c r="F103" s="40" t="str">
        <x:f>IF(B103="","",SUM($E$34:E103))</x:f>
      </x:c>
      <x:c r="G103" s="52" t="str">
        <x:f>IF(B103="","",IF(B103&lt;$C$13,IF(H103="",ROUND(105%*SUM($C$34:C103),2),IF(AND(ISNUMBER(H103),H103&gt;=0),MAX(ROUND(105%*SUM($C$34:C103),2),H103),"ตรวจมูลค่าเวนคืน")),MAX(0,ROUND(SUM($C$34:C103)-F103,2))))</x:f>
      </x:c>
      <x:c r="H103" s="50"/>
    </x:row>
    <x:row r="104" ht="23" customHeight="1">
      <x:c r="B104" s="36" t="str">
        <x:f>IF($C$17&lt;&gt;"พร้อมคำนวณ","",IF($C$6+ROW()-34&gt;90,"",$C$6+ROW()-34))</x:f>
      </x:c>
      <x:c r="C104" s="37" t="str">
        <x:f>IF(B104="","",IF(B104-$C$6&lt;$C$12,$C$11,0))</x:f>
      </x:c>
      <x:c r="D104" s="38" t="str">
        <x:f>IF(B104="","",IF(B104&lt;$C$13,0,IF(B104&lt;=70,12%,IF(B104&lt;=75,15%,IF(B104&lt;=80,18%,IF(B104&lt;=85,21%,24%))))))</x:f>
      </x:c>
      <x:c r="E104" s="42" t="str">
        <x:f>IF(B104="","",ROUND(D104*$C$8,2))</x:f>
      </x:c>
      <x:c r="F104" s="37" t="str">
        <x:f>IF(B104="","",SUM($E$34:E104))</x:f>
      </x:c>
      <x:c r="G104" s="42" t="str">
        <x:f>IF(B104="","",IF(B104&lt;$C$13,IF(H104="",ROUND(105%*SUM($C$34:C104),2),IF(AND(ISNUMBER(H104),H104&gt;=0),MAX(ROUND(105%*SUM($C$34:C104),2),H104),"ตรวจมูลค่าเวนคืน")),MAX(0,ROUND(SUM($C$34:C104)-F104,2))))</x:f>
      </x:c>
      <x:c r="H104" s="50"/>
    </x:row>
    <x:row r="106">
      <x:c r="B106" s="29" t="str">
        <x:v>*ก่อนรับบำนาญ: จ่าย 105% ของเบี้ยสะสม หรือมูลค่าเวนคืน ณ ขณะนั้น แล้วแต่จำนวนใดมากกว่า</x:v>
      </x:c>
      <x:c r="C106" s="29"/>
      <x:c r="D106" s="29"/>
      <x:c r="E106" s="29"/>
      <x:c r="F106" s="29"/>
      <x:c r="G106" s="29"/>
      <x:c r="H106" s="29"/>
    </x:row>
    <x:row r="107">
      <x:c r="B107" s="29" t="str">
        <x:v>หลังเริ่มรับบำนาญ: จ่ายเบี้ยสะสมหักเงินบำนาญสะสมที่รับไปแล้ว (ไม่ต่ำกว่า 0 บาท)</x:v>
      </x:c>
      <x:c r="C107" s="29"/>
      <x:c r="D107" s="29"/>
      <x:c r="E107" s="29"/>
      <x:c r="F107" s="29"/>
      <x:c r="G107" s="29"/>
      <x:c r="H107" s="29"/>
    </x:row>
    <x:row r="108">
      <x:c r="B108" s="29" t="str">
        <x:v>คอลัมน์ H ใช้เฉพาะปีก่อนรับบำนาญ หากเว้นว่าง คอลัมน์ G เป็นเพียงความคุ้มครองขั้นต่ำ</x:v>
      </x:c>
      <x:c r="C108" s="29"/>
      <x:c r="D108" s="29"/>
      <x:c r="E108" s="29"/>
      <x:c r="F108" s="29"/>
      <x:c r="G108" s="29"/>
      <x:c r="H108" s="29"/>
    </x:row>
    <x:row r="109">
      <x:c r="B109" s="29" t="str">
        <x:v>จำนวนใน G คำนวณหลังชำระเบี้ยและรับเงินบำนาญของแถวนั้น; ยืนยันมูลค่าเวนคืนและวันเกิดเหตุจริงกับบริษัท</x:v>
      </x:c>
      <x:c r="C109" s="29"/>
      <x:c r="D109" s="29"/>
      <x:c r="E109" s="29"/>
      <x:c r="F109" s="29"/>
      <x:c r="G109" s="29"/>
      <x:c r="H109" s="29"/>
    </x:row>
    <x:row r="112">
      <x:c r="B112" s="28" t="str">
        <x:v>เงื่อนไขแผนที่ใช้คำนวณ</x:v>
      </x:c>
      <x:c r="C112" s="28"/>
      <x:c r="D112" s="28"/>
      <x:c r="E112" s="28"/>
      <x:c r="F112" s="28"/>
      <x:c r="G112" s="28"/>
    </x:row>
    <x:row r="114" ht="30" customHeight="1">
      <x:c r="B114" s="56" t="str">
        <x:v>แผน</x:v>
      </x:c>
      <x:c r="C114" s="56" t="str">
        <x:v>วิธีชำระเบี้ย</x:v>
      </x:c>
      <x:c r="D114" s="56" t="str">
        <x:v>อายุขั้นต่ำ</x:v>
      </x:c>
      <x:c r="E114" s="56" t="str">
        <x:v>อายุสูงสุด</x:v>
      </x:c>
      <x:c r="F114" s="56" t="str">
        <x:v>เริ่มบำนาญ (ปี)</x:v>
      </x:c>
      <x:c r="G114" s="56" t="str">
        <x:v>ทุนขั้นต่ำในตาราง</x:v>
      </x:c>
    </x:row>
    <x:row r="115" ht="25" customHeight="1">
      <x:c r="B115" s="48" t="str">
        <x:v>90/5 ดี 55</x:v>
      </x:c>
      <x:c r="C115" s="48" t="str">
        <x:v>5 ปี</x:v>
      </x:c>
      <x:c r="D115" s="48" t="n">
        <x:v>20</x:v>
      </x:c>
      <x:c r="E115" s="48" t="n">
        <x:v>50</x:v>
      </x:c>
      <x:c r="F115" s="48" t="n">
        <x:v>55</x:v>
      </x:c>
      <x:c r="G115" s="62" t="n">
        <x:v>0</x:v>
      </x:c>
    </x:row>
    <x:row r="116" ht="25" customHeight="1">
      <x:c r="B116" s="48" t="str">
        <x:v>90/5 ดี 60</x:v>
      </x:c>
      <x:c r="C116" s="48" t="str">
        <x:v>5 ปี</x:v>
      </x:c>
      <x:c r="D116" s="48" t="n">
        <x:v>20</x:v>
      </x:c>
      <x:c r="E116" s="48" t="n">
        <x:v>55</x:v>
      </x:c>
      <x:c r="F116" s="48" t="n">
        <x:v>60</x:v>
      </x:c>
      <x:c r="G116" s="62" t="n">
        <x:v>0</x:v>
      </x:c>
    </x:row>
    <x:row r="117" ht="25" customHeight="1">
      <x:c r="B117" s="48" t="str">
        <x:v>90/5 ดี 65</x:v>
      </x:c>
      <x:c r="C117" s="48" t="str">
        <x:v>5 ปี</x:v>
      </x:c>
      <x:c r="D117" s="48" t="n">
        <x:v>20</x:v>
      </x:c>
      <x:c r="E117" s="48" t="n">
        <x:v>55</x:v>
      </x:c>
      <x:c r="F117" s="48" t="n">
        <x:v>65</x:v>
      </x:c>
      <x:c r="G117" s="62" t="n">
        <x:v>0</x:v>
      </x:c>
    </x:row>
    <x:row r="118" ht="25" customHeight="1">
      <x:c r="B118" s="48" t="str">
        <x:v>เฟล็กซี่ รีไทร์ 9055</x:v>
      </x:c>
      <x:c r="C118" s="48" t="str">
        <x:v>ถึงอายุเริ่มรับบำนาญ</x:v>
      </x:c>
      <x:c r="D118" s="48" t="n">
        <x:v>20</x:v>
      </x:c>
      <x:c r="E118" s="48" t="n">
        <x:v>50</x:v>
      </x:c>
      <x:c r="F118" s="48" t="n">
        <x:v>55</x:v>
      </x:c>
      <x:c r="G118" s="62" t="n">
        <x:v>100000</x:v>
      </x:c>
    </x:row>
    <x:row r="119" ht="25" customHeight="1">
      <x:c r="B119" s="48" t="str">
        <x:v>เฟล็กซี่ รีไทร์ 9060</x:v>
      </x:c>
      <x:c r="C119" s="48" t="str">
        <x:v>ถึงอายุเริ่มรับบำนาญ</x:v>
      </x:c>
      <x:c r="D119" s="48" t="n">
        <x:v>20</x:v>
      </x:c>
      <x:c r="E119" s="48" t="n">
        <x:v>55</x:v>
      </x:c>
      <x:c r="F119" s="48" t="n">
        <x:v>60</x:v>
      </x:c>
      <x:c r="G119" s="62" t="n">
        <x:v>100000</x:v>
      </x:c>
    </x:row>
    <x:row r="120" ht="25" customHeight="1">
      <x:c r="B120" s="48" t="str">
        <x:v>เฟล็กซี่ รีไทร์ 9065</x:v>
      </x:c>
      <x:c r="C120" s="48" t="str">
        <x:v>ถึงอายุเริ่มรับบำนาญ</x:v>
      </x:c>
      <x:c r="D120" s="48" t="n">
        <x:v>20</x:v>
      </x:c>
      <x:c r="E120" s="48" t="n">
        <x:v>60</x:v>
      </x:c>
      <x:c r="F120" s="48" t="n">
        <x:v>65</x:v>
      </x:c>
      <x:c r="G120" s="62" t="n">
        <x:v>100000</x:v>
      </x:c>
    </x:row>
    <x:row r="122">
      <x:c r="B122" s="29" t="str">
        <x:v>ทุนขั้นต่ำ 0 ในตารางเงื่อนไขหมายถึงไฟล์อัตราเบี้ย 90/5 ไม่ได้ระบุขั้นต่ำ ระบบรับเฉพาะทุนที่มากกว่า 0</x:v>
      </x:c>
      <x:c r="C122" s="29"/>
      <x:c r="D122" s="29"/>
      <x:c r="E122" s="29"/>
      <x:c r="F122" s="29"/>
      <x:c r="G122" s="29"/>
      <x:c r="H122" s="29"/>
    </x:row>
    <x:row r="123">
      <x:c r="B123" s="29" t="str">
        <x:v>อัตราเบี้ย 9055/9060/9065 ใช้เฉพาะรายปีจาก flexi2.pdf หน้า 1–4</x:v>
      </x:c>
      <x:c r="C123" s="29"/>
      <x:c r="D123" s="29"/>
      <x:c r="E123" s="29"/>
      <x:c r="F123" s="29"/>
      <x:c r="G123" s="29"/>
      <x:c r="H123" s="29"/>
    </x:row>
  </x:sheetData>
  <x:mergeCells>
    <x:mergeCell ref="C17:F18"/>
  </x:mergeCells>
  <x:conditionalFormatting sqref="C17:C17">
    <x:cfRule type="expression" dxfId="0" priority="1">
      <x:formula>AND(C17&lt;&gt;"พร้อมคำนวณ",C17&lt;&gt;"กรอกข้อมูลให้ครบ 4 ช่อง")</x:formula>
    </x:cfRule>
  </x:conditionalFormatting>
  <x:dataValidations count="5">
    <x:dataValidation type="list" sqref="C5">
      <x:formula1>"ชาย,หญิง"</x:formula1>
    </x:dataValidation>
    <x:dataValidation type="list" sqref="C7">
      <x:formula1>"90/5 ดี 55,90/5 ดี 60,90/5 ดี 65,เฟล็กซี่ รีไทร์ 9055,เฟล็กซี่ รีไทร์ 9060,เฟล็กซี่ รีไทร์ 9065"</x:formula1>
    </x:dataValidation>
    <x:dataValidation type="whole" operator="between" sqref="C6">
      <x:formula1>20</x:formula1>
      <x:formula2>60</x:formula2>
    </x:dataValidation>
    <x:dataValidation type="decimal" operator="greaterThan" sqref="C8">
      <x:formula1>0</x:formula1>
    </x:dataValidation>
    <x:dataValidation type="decimal" operator="greaterThanOrEqual" sqref="H34:H1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17" t="str">
        <x:v>เฟล็กซี่ รีไทร์ 90/5 ดี 55 (บำนาญแบบลดหย่อนได้)</x:v>
      </x:c>
      <x:c r="B2" s="17"/>
      <x:c r="C2" s="17"/>
      <x:c r="D2" s="17"/>
      <x:c r="E2" s="17"/>
    </x:row>
    <x:row r="3" ht="25" customHeight="1">
      <x:c r="A3" s="2" t="str">
        <x:v>แหล่งข้อมูล: flexi retire.pdf หน้า 1 (ไฟล์ที่แนบ)</x:v>
      </x:c>
      <x:c r="B3" s="2"/>
      <x:c r="C3" s="2"/>
      <x:c r="D3" s="2"/>
      <x:c r="E3" s="2"/>
    </x:row>
    <x:row r="4" ht="25" customHeight="1">
      <x:c r="A4" s="2" t="str">
        <x:v>อัตราเบี้ยรายปีต่อทุนประกัน 1,000 บาท ไม่มีส่วนลด</x:v>
      </x:c>
      <x:c r="B4" s="2"/>
      <x:c r="C4" s="2"/>
      <x:c r="D4" s="2"/>
      <x:c r="E4" s="2"/>
    </x:row>
    <x:row r="5" ht="25" customHeight="1">
      <x:c r="A5" s="2" t="str">
        <x:v>ทุนที่ใช้คำนวณ</x:v>
      </x:c>
      <x:c r="B5" s="18" t="str">
        <x:f>IF('ข้อมูลลูกค้า'!C8="","",'ข้อมูลลูกค้า'!C8)</x:f>
      </x:c>
      <x:c r="C5" s="2" t="str">
        <x:v>บาท (จากหน้าข้อมูลลูกค้า)</x:v>
      </x:c>
      <x:c r="D5" s="2"/>
      <x:c r="E5" s="2"/>
    </x:row>
    <x:row r="6" ht="25" customHeight="1">
      <x:c r="A6" s="2" t="str">
        <x:v>ช่วงอายุในตาราง: 20–50 ปี</x:v>
      </x:c>
      <x:c r="B6" s="2"/>
      <x:c r="C6" s="2"/>
      <x:c r="D6" s="2"/>
      <x:c r="E6" s="2"/>
    </x:row>
    <x:row r="7" ht="25" customHeight="1">
      <x:c r="A7" s="2"/>
      <x:c r="B7" s="2"/>
      <x:c r="C7" s="2"/>
      <x:c r="D7" s="2"/>
      <x:c r="E7" s="2"/>
    </x:row>
    <x:row r="8" ht="30" customHeight="1">
      <x:c r="A8" s="21" t="str">
        <x:v>อายุ (ปี)</x:v>
      </x:c>
      <x:c r="B8" s="21" t="str">
        <x:v>อัตรารายปี ชาย</x:v>
      </x:c>
      <x:c r="C8" s="21" t="str">
        <x:v>อัตรารายปี หญิง</x:v>
      </x:c>
      <x:c r="D8" s="21" t="str">
        <x:v>เบี้ยรายปี ชาย (บาท)</x:v>
      </x:c>
      <x:c r="E8" s="21" t="str">
        <x:v>เบี้ยรายปี หญิง (บาท)</x:v>
      </x:c>
    </x:row>
    <x:row r="9" ht="25" customHeight="1">
      <x:c r="A9" s="22" t="n">
        <x:v>20</x:v>
      </x:c>
      <x:c r="B9" s="18" t="n">
        <x:v>344.22</x:v>
      </x:c>
      <x:c r="C9" s="18" t="n">
        <x:v>388.97</x:v>
      </x:c>
      <x:c r="D9" s="23" t="str">
        <x:f>IF(OR(NOT(ISNUMBER($B$5)),$B$5&lt;=0),"",ROUND(B9*$B$5/'ข้อมูลลูกค้า'!$C$15,2))</x:f>
      </x:c>
      <x:c r="E9" s="23" t="str">
        <x:f>IF(OR(NOT(ISNUMBER($B$5)),$B$5&lt;=0),"",ROUND(C9*$B$5/'ข้อมูลลูกค้า'!$C$15,2))</x:f>
      </x:c>
    </x:row>
    <x:row r="10" ht="25" customHeight="1">
      <x:c r="A10" s="24" t="n">
        <x:v>21</x:v>
      </x:c>
      <x:c r="B10" s="25" t="n">
        <x:v>352.35</x:v>
      </x:c>
      <x:c r="C10" s="25" t="n">
        <x:v>397.6</x:v>
      </x:c>
      <x:c r="D10" s="23" t="str">
        <x:f>IF(OR(NOT(ISNUMBER($B$5)),$B$5&lt;=0),"",ROUND(B10*$B$5/'ข้อมูลลูกค้า'!$C$15,2))</x:f>
      </x:c>
      <x:c r="E10" s="23" t="str">
        <x:f>IF(OR(NOT(ISNUMBER($B$5)),$B$5&lt;=0),"",ROUND(C10*$B$5/'ข้อมูลลูกค้า'!$C$15,2))</x:f>
      </x:c>
    </x:row>
    <x:row r="11" ht="25" customHeight="1">
      <x:c r="A11" s="22" t="n">
        <x:v>22</x:v>
      </x:c>
      <x:c r="B11" s="18" t="n">
        <x:v>360.69</x:v>
      </x:c>
      <x:c r="C11" s="18" t="n">
        <x:v>406.44</x:v>
      </x:c>
      <x:c r="D11" s="23" t="str">
        <x:f>IF(OR(NOT(ISNUMBER($B$5)),$B$5&lt;=0),"",ROUND(B11*$B$5/'ข้อมูลลูกค้า'!$C$15,2))</x:f>
      </x:c>
      <x:c r="E11" s="23" t="str">
        <x:f>IF(OR(NOT(ISNUMBER($B$5)),$B$5&lt;=0),"",ROUND(C11*$B$5/'ข้อมูลลูกค้า'!$C$15,2))</x:f>
      </x:c>
    </x:row>
    <x:row r="12" ht="25" customHeight="1">
      <x:c r="A12" s="24" t="n">
        <x:v>23</x:v>
      </x:c>
      <x:c r="B12" s="25" t="n">
        <x:v>369.36</x:v>
      </x:c>
      <x:c r="C12" s="25" t="n">
        <x:v>415.5</x:v>
      </x:c>
      <x:c r="D12" s="23" t="str">
        <x:f>IF(OR(NOT(ISNUMBER($B$5)),$B$5&lt;=0),"",ROUND(B12*$B$5/'ข้อมูลลูกค้า'!$C$15,2))</x:f>
      </x:c>
      <x:c r="E12" s="23" t="str">
        <x:f>IF(OR(NOT(ISNUMBER($B$5)),$B$5&lt;=0),"",ROUND(C12*$B$5/'ข้อมูลลูกค้า'!$C$15,2))</x:f>
      </x:c>
    </x:row>
    <x:row r="13" ht="25" customHeight="1">
      <x:c r="A13" s="22" t="n">
        <x:v>24</x:v>
      </x:c>
      <x:c r="B13" s="18" t="n">
        <x:v>378.25</x:v>
      </x:c>
      <x:c r="C13" s="18" t="n">
        <x:v>424.87</x:v>
      </x:c>
      <x:c r="D13" s="23" t="str">
        <x:f>IF(OR(NOT(ISNUMBER($B$5)),$B$5&lt;=0),"",ROUND(B13*$B$5/'ข้อมูลลูกค้า'!$C$15,2))</x:f>
      </x:c>
      <x:c r="E13" s="23" t="str">
        <x:f>IF(OR(NOT(ISNUMBER($B$5)),$B$5&lt;=0),"",ROUND(C13*$B$5/'ข้อมูลลูกค้า'!$C$15,2))</x:f>
      </x:c>
    </x:row>
    <x:row r="14" ht="25" customHeight="1">
      <x:c r="A14" s="24" t="n">
        <x:v>25</x:v>
      </x:c>
      <x:c r="B14" s="25" t="n">
        <x:v>387.43</x:v>
      </x:c>
      <x:c r="C14" s="25" t="n">
        <x:v>434.46</x:v>
      </x:c>
      <x:c r="D14" s="23" t="str">
        <x:f>IF(OR(NOT(ISNUMBER($B$5)),$B$5&lt;=0),"",ROUND(B14*$B$5/'ข้อมูลลูกค้า'!$C$15,2))</x:f>
      </x:c>
      <x:c r="E14" s="23" t="str">
        <x:f>IF(OR(NOT(ISNUMBER($B$5)),$B$5&lt;=0),"",ROUND(C14*$B$5/'ข้อมูลลูกค้า'!$C$15,2))</x:f>
      </x:c>
    </x:row>
    <x:row r="15" ht="25" customHeight="1">
      <x:c r="A15" s="22" t="n">
        <x:v>26</x:v>
      </x:c>
      <x:c r="B15" s="18" t="n">
        <x:v>396.95</x:v>
      </x:c>
      <x:c r="C15" s="18" t="n">
        <x:v>444.29</x:v>
      </x:c>
      <x:c r="D15" s="23" t="str">
        <x:f>IF(OR(NOT(ISNUMBER($B$5)),$B$5&lt;=0),"",ROUND(B15*$B$5/'ข้อมูลลูกค้า'!$C$15,2))</x:f>
      </x:c>
      <x:c r="E15" s="23" t="str">
        <x:f>IF(OR(NOT(ISNUMBER($B$5)),$B$5&lt;=0),"",ROUND(C15*$B$5/'ข้อมูลลูกค้า'!$C$15,2))</x:f>
      </x:c>
    </x:row>
    <x:row r="16" ht="25" customHeight="1">
      <x:c r="A16" s="24" t="n">
        <x:v>27</x:v>
      </x:c>
      <x:c r="B16" s="25" t="n">
        <x:v>406.73</x:v>
      </x:c>
      <x:c r="C16" s="25" t="n">
        <x:v>454.48</x:v>
      </x:c>
      <x:c r="D16" s="23" t="str">
        <x:f>IF(OR(NOT(ISNUMBER($B$5)),$B$5&lt;=0),"",ROUND(B16*$B$5/'ข้อมูลลูกค้า'!$C$15,2))</x:f>
      </x:c>
      <x:c r="E16" s="23" t="str">
        <x:f>IF(OR(NOT(ISNUMBER($B$5)),$B$5&lt;=0),"",ROUND(C16*$B$5/'ข้อมูลลูกค้า'!$C$15,2))</x:f>
      </x:c>
    </x:row>
    <x:row r="17" ht="25" customHeight="1">
      <x:c r="A17" s="22" t="n">
        <x:v>28</x:v>
      </x:c>
      <x:c r="B17" s="18" t="n">
        <x:v>416.82</x:v>
      </x:c>
      <x:c r="C17" s="18" t="n">
        <x:v>464.93</x:v>
      </x:c>
      <x:c r="D17" s="23" t="str">
        <x:f>IF(OR(NOT(ISNUMBER($B$5)),$B$5&lt;=0),"",ROUND(B17*$B$5/'ข้อมูลลูกค้า'!$C$15,2))</x:f>
      </x:c>
      <x:c r="E17" s="23" t="str">
        <x:f>IF(OR(NOT(ISNUMBER($B$5)),$B$5&lt;=0),"",ROUND(C17*$B$5/'ข้อมูลลูกค้า'!$C$15,2))</x:f>
      </x:c>
    </x:row>
    <x:row r="18" ht="25" customHeight="1">
      <x:c r="A18" s="24" t="n">
        <x:v>29</x:v>
      </x:c>
      <x:c r="B18" s="25" t="n">
        <x:v>427.33</x:v>
      </x:c>
      <x:c r="C18" s="25" t="n">
        <x:v>475.67</x:v>
      </x:c>
      <x:c r="D18" s="23" t="str">
        <x:f>IF(OR(NOT(ISNUMBER($B$5)),$B$5&lt;=0),"",ROUND(B18*$B$5/'ข้อมูลลูกค้า'!$C$15,2))</x:f>
      </x:c>
      <x:c r="E18" s="23" t="str">
        <x:f>IF(OR(NOT(ISNUMBER($B$5)),$B$5&lt;=0),"",ROUND(C18*$B$5/'ข้อมูลลูกค้า'!$C$15,2))</x:f>
      </x:c>
    </x:row>
    <x:row r="19" ht="25" customHeight="1">
      <x:c r="A19" s="22" t="n">
        <x:v>30</x:v>
      </x:c>
      <x:c r="B19" s="18" t="n">
        <x:v>438.14</x:v>
      </x:c>
      <x:c r="C19" s="18" t="n">
        <x:v>486.81</x:v>
      </x:c>
      <x:c r="D19" s="23" t="str">
        <x:f>IF(OR(NOT(ISNUMBER($B$5)),$B$5&lt;=0),"",ROUND(B19*$B$5/'ข้อมูลลูกค้า'!$C$15,2))</x:f>
      </x:c>
      <x:c r="E19" s="23" t="str">
        <x:f>IF(OR(NOT(ISNUMBER($B$5)),$B$5&lt;=0),"",ROUND(C19*$B$5/'ข้อมูลลูกค้า'!$C$15,2))</x:f>
      </x:c>
    </x:row>
    <x:row r="20" ht="25" customHeight="1">
      <x:c r="A20" s="24" t="n">
        <x:v>31</x:v>
      </x:c>
      <x:c r="B20" s="25" t="n">
        <x:v>449.35</x:v>
      </x:c>
      <x:c r="C20" s="25" t="n">
        <x:v>498.25</x:v>
      </x:c>
      <x:c r="D20" s="23" t="str">
        <x:f>IF(OR(NOT(ISNUMBER($B$5)),$B$5&lt;=0),"",ROUND(B20*$B$5/'ข้อมูลลูกค้า'!$C$15,2))</x:f>
      </x:c>
      <x:c r="E20" s="23" t="str">
        <x:f>IF(OR(NOT(ISNUMBER($B$5)),$B$5&lt;=0),"",ROUND(C20*$B$5/'ข้อมูลลูกค้า'!$C$15,2))</x:f>
      </x:c>
    </x:row>
    <x:row r="21" ht="25" customHeight="1">
      <x:c r="A21" s="22" t="n">
        <x:v>32</x:v>
      </x:c>
      <x:c r="B21" s="18" t="n">
        <x:v>461</x:v>
      </x:c>
      <x:c r="C21" s="18" t="n">
        <x:v>510.07</x:v>
      </x:c>
      <x:c r="D21" s="23" t="str">
        <x:f>IF(OR(NOT(ISNUMBER($B$5)),$B$5&lt;=0),"",ROUND(B21*$B$5/'ข้อมูลลูกค้า'!$C$15,2))</x:f>
      </x:c>
      <x:c r="E21" s="23" t="str">
        <x:f>IF(OR(NOT(ISNUMBER($B$5)),$B$5&lt;=0),"",ROUND(C21*$B$5/'ข้อมูลลูกค้า'!$C$15,2))</x:f>
      </x:c>
    </x:row>
    <x:row r="22" ht="25" customHeight="1">
      <x:c r="A22" s="24" t="n">
        <x:v>33</x:v>
      </x:c>
      <x:c r="B22" s="25" t="n">
        <x:v>472.99</x:v>
      </x:c>
      <x:c r="C22" s="25" t="n">
        <x:v>522.31</x:v>
      </x:c>
      <x:c r="D22" s="23" t="str">
        <x:f>IF(OR(NOT(ISNUMBER($B$5)),$B$5&lt;=0),"",ROUND(B22*$B$5/'ข้อมูลลูกค้า'!$C$15,2))</x:f>
      </x:c>
      <x:c r="E22" s="23" t="str">
        <x:f>IF(OR(NOT(ISNUMBER($B$5)),$B$5&lt;=0),"",ROUND(C22*$B$5/'ข้อมูลลูกค้า'!$C$15,2))</x:f>
      </x:c>
    </x:row>
    <x:row r="23" ht="25" customHeight="1">
      <x:c r="A23" s="22" t="n">
        <x:v>34</x:v>
      </x:c>
      <x:c r="B23" s="18" t="n">
        <x:v>485.58</x:v>
      </x:c>
      <x:c r="C23" s="18" t="n">
        <x:v>534.89</x:v>
      </x:c>
      <x:c r="D23" s="23" t="str">
        <x:f>IF(OR(NOT(ISNUMBER($B$5)),$B$5&lt;=0),"",ROUND(B23*$B$5/'ข้อมูลลูกค้า'!$C$15,2))</x:f>
      </x:c>
      <x:c r="E23" s="23" t="str">
        <x:f>IF(OR(NOT(ISNUMBER($B$5)),$B$5&lt;=0),"",ROUND(C23*$B$5/'ข้อมูลลูกค้า'!$C$15,2))</x:f>
      </x:c>
    </x:row>
    <x:row r="24" ht="25" customHeight="1">
      <x:c r="A24" s="24" t="n">
        <x:v>35</x:v>
      </x:c>
      <x:c r="B24" s="25" t="n">
        <x:v>498.57</x:v>
      </x:c>
      <x:c r="C24" s="25" t="n">
        <x:v>548.02</x:v>
      </x:c>
      <x:c r="D24" s="23" t="str">
        <x:f>IF(OR(NOT(ISNUMBER($B$5)),$B$5&lt;=0),"",ROUND(B24*$B$5/'ข้อมูลลูกค้า'!$C$15,2))</x:f>
      </x:c>
      <x:c r="E24" s="23" t="str">
        <x:f>IF(OR(NOT(ISNUMBER($B$5)),$B$5&lt;=0),"",ROUND(C24*$B$5/'ข้อมูลลูกค้า'!$C$15,2))</x:f>
      </x:c>
    </x:row>
    <x:row r="25" ht="25" customHeight="1">
      <x:c r="A25" s="22" t="n">
        <x:v>36</x:v>
      </x:c>
      <x:c r="B25" s="18" t="n">
        <x:v>512.14</x:v>
      </x:c>
      <x:c r="C25" s="18" t="n">
        <x:v>561.53</x:v>
      </x:c>
      <x:c r="D25" s="23" t="str">
        <x:f>IF(OR(NOT(ISNUMBER($B$5)),$B$5&lt;=0),"",ROUND(B25*$B$5/'ข้อมูลลูกค้า'!$C$15,2))</x:f>
      </x:c>
      <x:c r="E25" s="23" t="str">
        <x:f>IF(OR(NOT(ISNUMBER($B$5)),$B$5&lt;=0),"",ROUND(C25*$B$5/'ข้อมูลลูกค้า'!$C$15,2))</x:f>
      </x:c>
    </x:row>
    <x:row r="26" ht="25" customHeight="1">
      <x:c r="A26" s="24" t="n">
        <x:v>37</x:v>
      </x:c>
      <x:c r="B26" s="25" t="n">
        <x:v>526.28</x:v>
      </x:c>
      <x:c r="C26" s="25" t="n">
        <x:v>575.52</x:v>
      </x:c>
      <x:c r="D26" s="23" t="str">
        <x:f>IF(OR(NOT(ISNUMBER($B$5)),$B$5&lt;=0),"",ROUND(B26*$B$5/'ข้อมูลลูกค้า'!$C$15,2))</x:f>
      </x:c>
      <x:c r="E26" s="23" t="str">
        <x:f>IF(OR(NOT(ISNUMBER($B$5)),$B$5&lt;=0),"",ROUND(C26*$B$5/'ข้อมูลลูกค้า'!$C$15,2))</x:f>
      </x:c>
    </x:row>
    <x:row r="27" ht="25" customHeight="1">
      <x:c r="A27" s="22" t="n">
        <x:v>38</x:v>
      </x:c>
      <x:c r="B27" s="18" t="n">
        <x:v>541.04</x:v>
      </x:c>
      <x:c r="C27" s="18" t="n">
        <x:v>590.08</x:v>
      </x:c>
      <x:c r="D27" s="23" t="str">
        <x:f>IF(OR(NOT(ISNUMBER($B$5)),$B$5&lt;=0),"",ROUND(B27*$B$5/'ข้อมูลลูกค้า'!$C$15,2))</x:f>
      </x:c>
      <x:c r="E27" s="23" t="str">
        <x:f>IF(OR(NOT(ISNUMBER($B$5)),$B$5&lt;=0),"",ROUND(C27*$B$5/'ข้อมูลลูกค้า'!$C$15,2))</x:f>
      </x:c>
    </x:row>
    <x:row r="28" ht="25" customHeight="1">
      <x:c r="A28" s="24" t="n">
        <x:v>39</x:v>
      </x:c>
      <x:c r="B28" s="25" t="n">
        <x:v>556.51</x:v>
      </x:c>
      <x:c r="C28" s="25" t="n">
        <x:v>605.07</x:v>
      </x:c>
      <x:c r="D28" s="23" t="str">
        <x:f>IF(OR(NOT(ISNUMBER($B$5)),$B$5&lt;=0),"",ROUND(B28*$B$5/'ข้อมูลลูกค้า'!$C$15,2))</x:f>
      </x:c>
      <x:c r="E28" s="23" t="str">
        <x:f>IF(OR(NOT(ISNUMBER($B$5)),$B$5&lt;=0),"",ROUND(C28*$B$5/'ข้อมูลลูกค้า'!$C$15,2))</x:f>
      </x:c>
    </x:row>
    <x:row r="29" ht="25" customHeight="1">
      <x:c r="A29" s="22" t="n">
        <x:v>40</x:v>
      </x:c>
      <x:c r="B29" s="18" t="n">
        <x:v>572.54</x:v>
      </x:c>
      <x:c r="C29" s="18" t="n">
        <x:v>620.84</x:v>
      </x:c>
      <x:c r="D29" s="23" t="str">
        <x:f>IF(OR(NOT(ISNUMBER($B$5)),$B$5&lt;=0),"",ROUND(B29*$B$5/'ข้อมูลลูกค้า'!$C$15,2))</x:f>
      </x:c>
      <x:c r="E29" s="23" t="str">
        <x:f>IF(OR(NOT(ISNUMBER($B$5)),$B$5&lt;=0),"",ROUND(C29*$B$5/'ข้อมูลลูกค้า'!$C$15,2))</x:f>
      </x:c>
    </x:row>
    <x:row r="30" ht="25" customHeight="1">
      <x:c r="A30" s="24" t="n">
        <x:v>41</x:v>
      </x:c>
      <x:c r="B30" s="25" t="n">
        <x:v>589.53</x:v>
      </x:c>
      <x:c r="C30" s="25" t="n">
        <x:v>637.09</x:v>
      </x:c>
      <x:c r="D30" s="23" t="str">
        <x:f>IF(OR(NOT(ISNUMBER($B$5)),$B$5&lt;=0),"",ROUND(B30*$B$5/'ข้อมูลลูกค้า'!$C$15,2))</x:f>
      </x:c>
      <x:c r="E30" s="23" t="str">
        <x:f>IF(OR(NOT(ISNUMBER($B$5)),$B$5&lt;=0),"",ROUND(C30*$B$5/'ข้อมูลลูกค้า'!$C$15,2))</x:f>
      </x:c>
    </x:row>
    <x:row r="31" ht="25" customHeight="1">
      <x:c r="A31" s="22" t="n">
        <x:v>42</x:v>
      </x:c>
      <x:c r="B31" s="18" t="n">
        <x:v>607.13</x:v>
      </x:c>
      <x:c r="C31" s="18" t="n">
        <x:v>654.16</x:v>
      </x:c>
      <x:c r="D31" s="23" t="str">
        <x:f>IF(OR(NOT(ISNUMBER($B$5)),$B$5&lt;=0),"",ROUND(B31*$B$5/'ข้อมูลลูกค้า'!$C$15,2))</x:f>
      </x:c>
      <x:c r="E31" s="23" t="str">
        <x:f>IF(OR(NOT(ISNUMBER($B$5)),$B$5&lt;=0),"",ROUND(C31*$B$5/'ข้อมูลลูกค้า'!$C$15,2))</x:f>
      </x:c>
    </x:row>
    <x:row r="32" ht="25" customHeight="1">
      <x:c r="A32" s="24" t="n">
        <x:v>43</x:v>
      </x:c>
      <x:c r="B32" s="25" t="n">
        <x:v>625.93</x:v>
      </x:c>
      <x:c r="C32" s="25" t="n">
        <x:v>671.88</x:v>
      </x:c>
      <x:c r="D32" s="23" t="str">
        <x:f>IF(OR(NOT(ISNUMBER($B$5)),$B$5&lt;=0),"",ROUND(B32*$B$5/'ข้อมูลลูกค้า'!$C$15,2))</x:f>
      </x:c>
      <x:c r="E32" s="23" t="str">
        <x:f>IF(OR(NOT(ISNUMBER($B$5)),$B$5&lt;=0),"",ROUND(C32*$B$5/'ข้อมูลลูกค้า'!$C$15,2))</x:f>
      </x:c>
    </x:row>
    <x:row r="33" ht="25" customHeight="1">
      <x:c r="A33" s="22" t="n">
        <x:v>44</x:v>
      </x:c>
      <x:c r="B33" s="18" t="n">
        <x:v>645.52</x:v>
      </x:c>
      <x:c r="C33" s="18" t="n">
        <x:v>690.53</x:v>
      </x:c>
      <x:c r="D33" s="23" t="str">
        <x:f>IF(OR(NOT(ISNUMBER($B$5)),$B$5&lt;=0),"",ROUND(B33*$B$5/'ข้อมูลลูกค้า'!$C$15,2))</x:f>
      </x:c>
      <x:c r="E33" s="23" t="str">
        <x:f>IF(OR(NOT(ISNUMBER($B$5)),$B$5&lt;=0),"",ROUND(C33*$B$5/'ข้อมูลลูกค้า'!$C$15,2))</x:f>
      </x:c>
    </x:row>
    <x:row r="34" ht="25" customHeight="1">
      <x:c r="A34" s="24" t="n">
        <x:v>45</x:v>
      </x:c>
      <x:c r="B34" s="25" t="n">
        <x:v>666.46</x:v>
      </x:c>
      <x:c r="C34" s="25" t="n">
        <x:v>709.98</x:v>
      </x:c>
      <x:c r="D34" s="23" t="str">
        <x:f>IF(OR(NOT(ISNUMBER($B$5)),$B$5&lt;=0),"",ROUND(B34*$B$5/'ข้อมูลลูกค้า'!$C$15,2))</x:f>
      </x:c>
      <x:c r="E34" s="23" t="str">
        <x:f>IF(OR(NOT(ISNUMBER($B$5)),$B$5&lt;=0),"",ROUND(C34*$B$5/'ข้อมูลลูกค้า'!$C$15,2))</x:f>
      </x:c>
    </x:row>
    <x:row r="35" ht="25" customHeight="1">
      <x:c r="A35" s="22" t="n">
        <x:v>46</x:v>
      </x:c>
      <x:c r="B35" s="18" t="n">
        <x:v>688.6</x:v>
      </x:c>
      <x:c r="C35" s="18" t="n">
        <x:v>730.62</x:v>
      </x:c>
      <x:c r="D35" s="23" t="str">
        <x:f>IF(OR(NOT(ISNUMBER($B$5)),$B$5&lt;=0),"",ROUND(B35*$B$5/'ข้อมูลลูกค้า'!$C$15,2))</x:f>
      </x:c>
      <x:c r="E35" s="23" t="str">
        <x:f>IF(OR(NOT(ISNUMBER($B$5)),$B$5&lt;=0),"",ROUND(C35*$B$5/'ข้อมูลลูกค้า'!$C$15,2))</x:f>
      </x:c>
    </x:row>
    <x:row r="36" ht="25" customHeight="1">
      <x:c r="A36" s="24" t="n">
        <x:v>47</x:v>
      </x:c>
      <x:c r="B36" s="25" t="n">
        <x:v>712.08</x:v>
      </x:c>
      <x:c r="C36" s="25" t="n">
        <x:v>752.11</x:v>
      </x:c>
      <x:c r="D36" s="23" t="str">
        <x:f>IF(OR(NOT(ISNUMBER($B$5)),$B$5&lt;=0),"",ROUND(B36*$B$5/'ข้อมูลลูกค้า'!$C$15,2))</x:f>
      </x:c>
      <x:c r="E36" s="23" t="str">
        <x:f>IF(OR(NOT(ISNUMBER($B$5)),$B$5&lt;=0),"",ROUND(C36*$B$5/'ข้อมูลลูกค้า'!$C$15,2))</x:f>
      </x:c>
    </x:row>
    <x:row r="37" ht="25" customHeight="1">
      <x:c r="A37" s="22" t="n">
        <x:v>48</x:v>
      </x:c>
      <x:c r="B37" s="18" t="n">
        <x:v>737.56</x:v>
      </x:c>
      <x:c r="C37" s="18" t="n">
        <x:v>775.05</x:v>
      </x:c>
      <x:c r="D37" s="23" t="str">
        <x:f>IF(OR(NOT(ISNUMBER($B$5)),$B$5&lt;=0),"",ROUND(B37*$B$5/'ข้อมูลลูกค้า'!$C$15,2))</x:f>
      </x:c>
      <x:c r="E37" s="23" t="str">
        <x:f>IF(OR(NOT(ISNUMBER($B$5)),$B$5&lt;=0),"",ROUND(C37*$B$5/'ข้อมูลลูกค้า'!$C$15,2))</x:f>
      </x:c>
    </x:row>
    <x:row r="38" ht="25" customHeight="1">
      <x:c r="A38" s="24" t="n">
        <x:v>49</x:v>
      </x:c>
      <x:c r="B38" s="25" t="n">
        <x:v>764.58</x:v>
      </x:c>
      <x:c r="C38" s="25" t="n">
        <x:v>799.04</x:v>
      </x:c>
      <x:c r="D38" s="23" t="str">
        <x:f>IF(OR(NOT(ISNUMBER($B$5)),$B$5&lt;=0),"",ROUND(B38*$B$5/'ข้อมูลลูกค้า'!$C$15,2))</x:f>
      </x:c>
      <x:c r="E38" s="23" t="str">
        <x:f>IF(OR(NOT(ISNUMBER($B$5)),$B$5&lt;=0),"",ROUND(C38*$B$5/'ข้อมูลลูกค้า'!$C$15,2))</x:f>
      </x:c>
    </x:row>
    <x:row r="39" ht="25" customHeight="1">
      <x:c r="A39" s="22" t="n">
        <x:v>50</x:v>
      </x:c>
      <x:c r="B39" s="18" t="n">
        <x:v>793.76</x:v>
      </x:c>
      <x:c r="C39" s="18" t="n">
        <x:v>824.92</x:v>
      </x:c>
      <x:c r="D39" s="23" t="str">
        <x:f>IF(OR(NOT(ISNUMBER($B$5)),$B$5&lt;=0),"",ROUND(B39*$B$5/'ข้อมูลลูกค้า'!$C$15,2))</x:f>
      </x:c>
      <x:c r="E39" s="23" t="str">
        <x:f>IF(OR(NOT(ISNUMBER($B$5)),$B$5&lt;=0),"",ROUND(C39*$B$5/'ข้อมูลลูกค้า'!$C$15,2))</x:f>
      </x:c>
    </x:row>
    <x:row r="40" ht="25" customHeight="1">
      <x:c r="A40" s="2"/>
      <x:c r="B40" s="2"/>
      <x:c r="C40" s="2"/>
      <x:c r="D40" s="2"/>
      <x:c r="E40" s="2"/>
    </x:row>
    <x:row r="41" ht="25" customHeight="1">
      <x:c r="A41" s="2"/>
      <x:c r="B41" s="2"/>
      <x:c r="C41" s="2"/>
      <x:c r="D41" s="2"/>
      <x:c r="E4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17" t="str">
        <x:v>เฟล็กซี่ รีไทร์ 90/5 ดี 60 (บำนาญแบบลดหย่อนได้)</x:v>
      </x:c>
      <x:c r="B2" s="17"/>
      <x:c r="C2" s="17"/>
      <x:c r="D2" s="17"/>
      <x:c r="E2" s="17"/>
    </x:row>
    <x:row r="3" ht="25" customHeight="1">
      <x:c r="A3" s="2" t="str">
        <x:v>แหล่งข้อมูล: flexi retire.pdf หน้า 1 (ไฟล์ที่แนบ)</x:v>
      </x:c>
      <x:c r="B3" s="2"/>
      <x:c r="C3" s="2"/>
      <x:c r="D3" s="2"/>
      <x:c r="E3" s="2"/>
    </x:row>
    <x:row r="4" ht="25" customHeight="1">
      <x:c r="A4" s="2" t="str">
        <x:v>อัตราเบี้ยรายปีต่อทุนประกัน 1,000 บาท ไม่มีส่วนลด</x:v>
      </x:c>
      <x:c r="B4" s="2"/>
      <x:c r="C4" s="2"/>
      <x:c r="D4" s="2"/>
      <x:c r="E4" s="2"/>
    </x:row>
    <x:row r="5" ht="25" customHeight="1">
      <x:c r="A5" s="2" t="str">
        <x:v>ทุนที่ใช้คำนวณ</x:v>
      </x:c>
      <x:c r="B5" s="18" t="str">
        <x:f>IF('ข้อมูลลูกค้า'!C8="","",'ข้อมูลลูกค้า'!C8)</x:f>
      </x:c>
      <x:c r="C5" s="2" t="str">
        <x:v>บาท (จากหน้าข้อมูลลูกค้า)</x:v>
      </x:c>
      <x:c r="D5" s="2"/>
      <x:c r="E5" s="2"/>
    </x:row>
    <x:row r="6" ht="25" customHeight="1">
      <x:c r="A6" s="2" t="str">
        <x:v>ช่วงอายุในตาราง: 20–55 ปี</x:v>
      </x:c>
      <x:c r="B6" s="2"/>
      <x:c r="C6" s="2"/>
      <x:c r="D6" s="2"/>
      <x:c r="E6" s="2"/>
    </x:row>
    <x:row r="7" ht="25" customHeight="1">
      <x:c r="A7" s="2"/>
      <x:c r="B7" s="2"/>
      <x:c r="C7" s="2"/>
      <x:c r="D7" s="2"/>
      <x:c r="E7" s="2"/>
    </x:row>
    <x:row r="8" ht="30" customHeight="1">
      <x:c r="A8" s="21" t="str">
        <x:v>อายุ (ปี)</x:v>
      </x:c>
      <x:c r="B8" s="21" t="str">
        <x:v>อัตรารายปี ชาย</x:v>
      </x:c>
      <x:c r="C8" s="21" t="str">
        <x:v>อัตรารายปี หญิง</x:v>
      </x:c>
      <x:c r="D8" s="21" t="str">
        <x:v>เบี้ยรายปี ชาย (บาท)</x:v>
      </x:c>
      <x:c r="E8" s="21" t="str">
        <x:v>เบี้ยรายปี หญิง (บาท)</x:v>
      </x:c>
    </x:row>
    <x:row r="9" ht="25" customHeight="1">
      <x:c r="A9" s="22" t="n">
        <x:v>20</x:v>
      </x:c>
      <x:c r="B9" s="18" t="n">
        <x:v>269.88</x:v>
      </x:c>
      <x:c r="C9" s="18" t="n">
        <x:v>312.28</x:v>
      </x:c>
      <x:c r="D9" s="23" t="str">
        <x:f>IF(OR(NOT(ISNUMBER($B$5)),$B$5&lt;=0),"",ROUND(B9*$B$5/'ข้อมูลลูกค้า'!$C$15,2))</x:f>
      </x:c>
      <x:c r="E9" s="23" t="str">
        <x:f>IF(OR(NOT(ISNUMBER($B$5)),$B$5&lt;=0),"",ROUND(C9*$B$5/'ข้อมูลลูกค้า'!$C$15,2))</x:f>
      </x:c>
    </x:row>
    <x:row r="10" ht="25" customHeight="1">
      <x:c r="A10" s="24" t="n">
        <x:v>21</x:v>
      </x:c>
      <x:c r="B10" s="25" t="n">
        <x:v>276.45</x:v>
      </x:c>
      <x:c r="C10" s="25" t="n">
        <x:v>319.28</x:v>
      </x:c>
      <x:c r="D10" s="23" t="str">
        <x:f>IF(OR(NOT(ISNUMBER($B$5)),$B$5&lt;=0),"",ROUND(B10*$B$5/'ข้อมูลลูกค้า'!$C$15,2))</x:f>
      </x:c>
      <x:c r="E10" s="23" t="str">
        <x:f>IF(OR(NOT(ISNUMBER($B$5)),$B$5&lt;=0),"",ROUND(C10*$B$5/'ข้อมูลลูกค้า'!$C$15,2))</x:f>
      </x:c>
    </x:row>
    <x:row r="11" ht="25" customHeight="1">
      <x:c r="A11" s="22" t="n">
        <x:v>22</x:v>
      </x:c>
      <x:c r="B11" s="18" t="n">
        <x:v>283.19</x:v>
      </x:c>
      <x:c r="C11" s="18" t="n">
        <x:v>326.53</x:v>
      </x:c>
      <x:c r="D11" s="23" t="str">
        <x:f>IF(OR(NOT(ISNUMBER($B$5)),$B$5&lt;=0),"",ROUND(B11*$B$5/'ข้อมูลลูกค้า'!$C$15,2))</x:f>
      </x:c>
      <x:c r="E11" s="23" t="str">
        <x:f>IF(OR(NOT(ISNUMBER($B$5)),$B$5&lt;=0),"",ROUND(C11*$B$5/'ข้อมูลลูกค้า'!$C$15,2))</x:f>
      </x:c>
    </x:row>
    <x:row r="12" ht="25" customHeight="1">
      <x:c r="A12" s="24" t="n">
        <x:v>23</x:v>
      </x:c>
      <x:c r="B12" s="25" t="n">
        <x:v>290.15</x:v>
      </x:c>
      <x:c r="C12" s="25" t="n">
        <x:v>333.94</x:v>
      </x:c>
      <x:c r="D12" s="23" t="str">
        <x:f>IF(OR(NOT(ISNUMBER($B$5)),$B$5&lt;=0),"",ROUND(B12*$B$5/'ข้อมูลลูกค้า'!$C$15,2))</x:f>
      </x:c>
      <x:c r="E12" s="23" t="str">
        <x:f>IF(OR(NOT(ISNUMBER($B$5)),$B$5&lt;=0),"",ROUND(C12*$B$5/'ข้อมูลลูกค้า'!$C$15,2))</x:f>
      </x:c>
    </x:row>
    <x:row r="13" ht="25" customHeight="1">
      <x:c r="A13" s="22" t="n">
        <x:v>24</x:v>
      </x:c>
      <x:c r="B13" s="18" t="n">
        <x:v>297.38</x:v>
      </x:c>
      <x:c r="C13" s="18" t="n">
        <x:v>341.54</x:v>
      </x:c>
      <x:c r="D13" s="23" t="str">
        <x:f>IF(OR(NOT(ISNUMBER($B$5)),$B$5&lt;=0),"",ROUND(B13*$B$5/'ข้อมูลลูกค้า'!$C$15,2))</x:f>
      </x:c>
      <x:c r="E13" s="23" t="str">
        <x:f>IF(OR(NOT(ISNUMBER($B$5)),$B$5&lt;=0),"",ROUND(C13*$B$5/'ข้อมูลลูกค้า'!$C$15,2))</x:f>
      </x:c>
    </x:row>
    <x:row r="14" ht="25" customHeight="1">
      <x:c r="A14" s="24" t="n">
        <x:v>25</x:v>
      </x:c>
      <x:c r="B14" s="25" t="n">
        <x:v>304.81</x:v>
      </x:c>
      <x:c r="C14" s="25" t="n">
        <x:v>349.36</x:v>
      </x:c>
      <x:c r="D14" s="23" t="str">
        <x:f>IF(OR(NOT(ISNUMBER($B$5)),$B$5&lt;=0),"",ROUND(B14*$B$5/'ข้อมูลลูกค้า'!$C$15,2))</x:f>
      </x:c>
      <x:c r="E14" s="23" t="str">
        <x:f>IF(OR(NOT(ISNUMBER($B$5)),$B$5&lt;=0),"",ROUND(C14*$B$5/'ข้อมูลลูกค้า'!$C$15,2))</x:f>
      </x:c>
    </x:row>
    <x:row r="15" ht="25" customHeight="1">
      <x:c r="A15" s="22" t="n">
        <x:v>26</x:v>
      </x:c>
      <x:c r="B15" s="18" t="n">
        <x:v>312.45</x:v>
      </x:c>
      <x:c r="C15" s="18" t="n">
        <x:v>357.46</x:v>
      </x:c>
      <x:c r="D15" s="23" t="str">
        <x:f>IF(OR(NOT(ISNUMBER($B$5)),$B$5&lt;=0),"",ROUND(B15*$B$5/'ข้อมูลลูกค้า'!$C$15,2))</x:f>
      </x:c>
      <x:c r="E15" s="23" t="str">
        <x:f>IF(OR(NOT(ISNUMBER($B$5)),$B$5&lt;=0),"",ROUND(C15*$B$5/'ข้อมูลลูกค้า'!$C$15,2))</x:f>
      </x:c>
    </x:row>
    <x:row r="16" ht="25" customHeight="1">
      <x:c r="A16" s="24" t="n">
        <x:v>27</x:v>
      </x:c>
      <x:c r="B16" s="25" t="n">
        <x:v>320.36</x:v>
      </x:c>
      <x:c r="C16" s="25" t="n">
        <x:v>365.75</x:v>
      </x:c>
      <x:c r="D16" s="23" t="str">
        <x:f>IF(OR(NOT(ISNUMBER($B$5)),$B$5&lt;=0),"",ROUND(B16*$B$5/'ข้อมูลลูกค้า'!$C$15,2))</x:f>
      </x:c>
      <x:c r="E16" s="23" t="str">
        <x:f>IF(OR(NOT(ISNUMBER($B$5)),$B$5&lt;=0),"",ROUND(C16*$B$5/'ข้อมูลลูกค้า'!$C$15,2))</x:f>
      </x:c>
    </x:row>
    <x:row r="17" ht="25" customHeight="1">
      <x:c r="A17" s="22" t="n">
        <x:v>28</x:v>
      </x:c>
      <x:c r="B17" s="18" t="n">
        <x:v>328.6</x:v>
      </x:c>
      <x:c r="C17" s="18" t="n">
        <x:v>374.26</x:v>
      </x:c>
      <x:c r="D17" s="23" t="str">
        <x:f>IF(OR(NOT(ISNUMBER($B$5)),$B$5&lt;=0),"",ROUND(B17*$B$5/'ข้อมูลลูกค้า'!$C$15,2))</x:f>
      </x:c>
      <x:c r="E17" s="23" t="str">
        <x:f>IF(OR(NOT(ISNUMBER($B$5)),$B$5&lt;=0),"",ROUND(C17*$B$5/'ข้อมูลลูกค้า'!$C$15,2))</x:f>
      </x:c>
    </x:row>
    <x:row r="18" ht="25" customHeight="1">
      <x:c r="A18" s="24" t="n">
        <x:v>29</x:v>
      </x:c>
      <x:c r="B18" s="25" t="n">
        <x:v>337.08</x:v>
      </x:c>
      <x:c r="C18" s="25" t="n">
        <x:v>383.09</x:v>
      </x:c>
      <x:c r="D18" s="23" t="str">
        <x:f>IF(OR(NOT(ISNUMBER($B$5)),$B$5&lt;=0),"",ROUND(B18*$B$5/'ข้อมูลลูกค้า'!$C$15,2))</x:f>
      </x:c>
      <x:c r="E18" s="23" t="str">
        <x:f>IF(OR(NOT(ISNUMBER($B$5)),$B$5&lt;=0),"",ROUND(C18*$B$5/'ข้อมูลลูกค้า'!$C$15,2))</x:f>
      </x:c>
    </x:row>
    <x:row r="19" ht="25" customHeight="1">
      <x:c r="A19" s="22" t="n">
        <x:v>30</x:v>
      </x:c>
      <x:c r="B19" s="18" t="n">
        <x:v>345.8</x:v>
      </x:c>
      <x:c r="C19" s="18" t="n">
        <x:v>392.2</x:v>
      </x:c>
      <x:c r="D19" s="23" t="str">
        <x:f>IF(OR(NOT(ISNUMBER($B$5)),$B$5&lt;=0),"",ROUND(B19*$B$5/'ข้อมูลลูกค้า'!$C$15,2))</x:f>
      </x:c>
      <x:c r="E19" s="23" t="str">
        <x:f>IF(OR(NOT(ISNUMBER($B$5)),$B$5&lt;=0),"",ROUND(C19*$B$5/'ข้อมูลลูกค้า'!$C$15,2))</x:f>
      </x:c>
    </x:row>
    <x:row r="20" ht="25" customHeight="1">
      <x:c r="A20" s="24" t="n">
        <x:v>31</x:v>
      </x:c>
      <x:c r="B20" s="25" t="n">
        <x:v>354.96</x:v>
      </x:c>
      <x:c r="C20" s="25" t="n">
        <x:v>401.54</x:v>
      </x:c>
      <x:c r="D20" s="23" t="str">
        <x:f>IF(OR(NOT(ISNUMBER($B$5)),$B$5&lt;=0),"",ROUND(B20*$B$5/'ข้อมูลลูกค้า'!$C$15,2))</x:f>
      </x:c>
      <x:c r="E20" s="23" t="str">
        <x:f>IF(OR(NOT(ISNUMBER($B$5)),$B$5&lt;=0),"",ROUND(C20*$B$5/'ข้อมูลลูกค้า'!$C$15,2))</x:f>
      </x:c>
    </x:row>
    <x:row r="21" ht="25" customHeight="1">
      <x:c r="A21" s="22" t="n">
        <x:v>32</x:v>
      </x:c>
      <x:c r="B21" s="18" t="n">
        <x:v>364.4</x:v>
      </x:c>
      <x:c r="C21" s="18" t="n">
        <x:v>411.22</x:v>
      </x:c>
      <x:c r="D21" s="23" t="str">
        <x:f>IF(OR(NOT(ISNUMBER($B$5)),$B$5&lt;=0),"",ROUND(B21*$B$5/'ข้อมูลลูกค้า'!$C$15,2))</x:f>
      </x:c>
      <x:c r="E21" s="23" t="str">
        <x:f>IF(OR(NOT(ISNUMBER($B$5)),$B$5&lt;=0),"",ROUND(C21*$B$5/'ข้อมูลลูกค้า'!$C$15,2))</x:f>
      </x:c>
    </x:row>
    <x:row r="22" ht="25" customHeight="1">
      <x:c r="A22" s="24" t="n">
        <x:v>33</x:v>
      </x:c>
      <x:c r="B22" s="25" t="n">
        <x:v>374.13</x:v>
      </x:c>
      <x:c r="C22" s="25" t="n">
        <x:v>421.23</x:v>
      </x:c>
      <x:c r="D22" s="23" t="str">
        <x:f>IF(OR(NOT(ISNUMBER($B$5)),$B$5&lt;=0),"",ROUND(B22*$B$5/'ข้อมูลลูกค้า'!$C$15,2))</x:f>
      </x:c>
      <x:c r="E22" s="23" t="str">
        <x:f>IF(OR(NOT(ISNUMBER($B$5)),$B$5&lt;=0),"",ROUND(C22*$B$5/'ข้อมูลลูกค้า'!$C$15,2))</x:f>
      </x:c>
    </x:row>
    <x:row r="23" ht="25" customHeight="1">
      <x:c r="A23" s="22" t="n">
        <x:v>34</x:v>
      </x:c>
      <x:c r="B23" s="18" t="n">
        <x:v>384.35</x:v>
      </x:c>
      <x:c r="C23" s="18" t="n">
        <x:v>431.54</x:v>
      </x:c>
      <x:c r="D23" s="23" t="str">
        <x:f>IF(OR(NOT(ISNUMBER($B$5)),$B$5&lt;=0),"",ROUND(B23*$B$5/'ข้อมูลลูกค้า'!$C$15,2))</x:f>
      </x:c>
      <x:c r="E23" s="23" t="str">
        <x:f>IF(OR(NOT(ISNUMBER($B$5)),$B$5&lt;=0),"",ROUND(C23*$B$5/'ข้อมูลลูกค้า'!$C$15,2))</x:f>
      </x:c>
    </x:row>
    <x:row r="24" ht="25" customHeight="1">
      <x:c r="A24" s="24" t="n">
        <x:v>35</x:v>
      </x:c>
      <x:c r="B24" s="25" t="n">
        <x:v>394.95</x:v>
      </x:c>
      <x:c r="C24" s="25" t="n">
        <x:v>442.16</x:v>
      </x:c>
      <x:c r="D24" s="23" t="str">
        <x:f>IF(OR(NOT(ISNUMBER($B$5)),$B$5&lt;=0),"",ROUND(B24*$B$5/'ข้อมูลลูกค้า'!$C$15,2))</x:f>
      </x:c>
      <x:c r="E24" s="23" t="str">
        <x:f>IF(OR(NOT(ISNUMBER($B$5)),$B$5&lt;=0),"",ROUND(C24*$B$5/'ข้อมูลลูกค้า'!$C$15,2))</x:f>
      </x:c>
    </x:row>
    <x:row r="25" ht="25" customHeight="1">
      <x:c r="A25" s="22" t="n">
        <x:v>36</x:v>
      </x:c>
      <x:c r="B25" s="18" t="n">
        <x:v>405.88</x:v>
      </x:c>
      <x:c r="C25" s="18" t="n">
        <x:v>453.25</x:v>
      </x:c>
      <x:c r="D25" s="23" t="str">
        <x:f>IF(OR(NOT(ISNUMBER($B$5)),$B$5&lt;=0),"",ROUND(B25*$B$5/'ข้อมูลลูกค้า'!$C$15,2))</x:f>
      </x:c>
      <x:c r="E25" s="23" t="str">
        <x:f>IF(OR(NOT(ISNUMBER($B$5)),$B$5&lt;=0),"",ROUND(C25*$B$5/'ข้อมูลลูกค้า'!$C$15,2))</x:f>
      </x:c>
    </x:row>
    <x:row r="26" ht="25" customHeight="1">
      <x:c r="A26" s="24" t="n">
        <x:v>37</x:v>
      </x:c>
      <x:c r="B26" s="25" t="n">
        <x:v>417.45</x:v>
      </x:c>
      <x:c r="C26" s="25" t="n">
        <x:v>464.67</x:v>
      </x:c>
      <x:c r="D26" s="23" t="str">
        <x:f>IF(OR(NOT(ISNUMBER($B$5)),$B$5&lt;=0),"",ROUND(B26*$B$5/'ข้อมูลลูกค้า'!$C$15,2))</x:f>
      </x:c>
      <x:c r="E26" s="23" t="str">
        <x:f>IF(OR(NOT(ISNUMBER($B$5)),$B$5&lt;=0),"",ROUND(C26*$B$5/'ข้อมูลลูกค้า'!$C$15,2))</x:f>
      </x:c>
    </x:row>
    <x:row r="27" ht="25" customHeight="1">
      <x:c r="A27" s="22" t="n">
        <x:v>38</x:v>
      </x:c>
      <x:c r="B27" s="18" t="n">
        <x:v>429.4</x:v>
      </x:c>
      <x:c r="C27" s="18" t="n">
        <x:v>476.42</x:v>
      </x:c>
      <x:c r="D27" s="23" t="str">
        <x:f>IF(OR(NOT(ISNUMBER($B$5)),$B$5&lt;=0),"",ROUND(B27*$B$5/'ข้อมูลลูกค้า'!$C$15,2))</x:f>
      </x:c>
      <x:c r="E27" s="23" t="str">
        <x:f>IF(OR(NOT(ISNUMBER($B$5)),$B$5&lt;=0),"",ROUND(C27*$B$5/'ข้อมูลลูกค้า'!$C$15,2))</x:f>
      </x:c>
    </x:row>
    <x:row r="28" ht="25" customHeight="1">
      <x:c r="A28" s="24" t="n">
        <x:v>39</x:v>
      </x:c>
      <x:c r="B28" s="25" t="n">
        <x:v>441.76</x:v>
      </x:c>
      <x:c r="C28" s="25" t="n">
        <x:v>488.79</x:v>
      </x:c>
      <x:c r="D28" s="23" t="str">
        <x:f>IF(OR(NOT(ISNUMBER($B$5)),$B$5&lt;=0),"",ROUND(B28*$B$5/'ข้อมูลลูกค้า'!$C$15,2))</x:f>
      </x:c>
      <x:c r="E28" s="23" t="str">
        <x:f>IF(OR(NOT(ISNUMBER($B$5)),$B$5&lt;=0),"",ROUND(C28*$B$5/'ข้อมูลลูกค้า'!$C$15,2))</x:f>
      </x:c>
    </x:row>
    <x:row r="29" ht="25" customHeight="1">
      <x:c r="A29" s="22" t="n">
        <x:v>40</x:v>
      </x:c>
      <x:c r="B29" s="18" t="n">
        <x:v>454.91</x:v>
      </x:c>
      <x:c r="C29" s="18" t="n">
        <x:v>501.52</x:v>
      </x:c>
      <x:c r="D29" s="23" t="str">
        <x:f>IF(OR(NOT(ISNUMBER($B$5)),$B$5&lt;=0),"",ROUND(B29*$B$5/'ข้อมูลลูกค้า'!$C$15,2))</x:f>
      </x:c>
      <x:c r="E29" s="23" t="str">
        <x:f>IF(OR(NOT(ISNUMBER($B$5)),$B$5&lt;=0),"",ROUND(C29*$B$5/'ข้อมูลลูกค้า'!$C$15,2))</x:f>
      </x:c>
    </x:row>
    <x:row r="30" ht="25" customHeight="1">
      <x:c r="A30" s="24" t="n">
        <x:v>41</x:v>
      </x:c>
      <x:c r="B30" s="25" t="n">
        <x:v>468.51</x:v>
      </x:c>
      <x:c r="C30" s="25" t="n">
        <x:v>514.73</x:v>
      </x:c>
      <x:c r="D30" s="23" t="str">
        <x:f>IF(OR(NOT(ISNUMBER($B$5)),$B$5&lt;=0),"",ROUND(B30*$B$5/'ข้อมูลลูกค้า'!$C$15,2))</x:f>
      </x:c>
      <x:c r="E30" s="23" t="str">
        <x:f>IF(OR(NOT(ISNUMBER($B$5)),$B$5&lt;=0),"",ROUND(C30*$B$5/'ข้อมูลลูกค้า'!$C$15,2))</x:f>
      </x:c>
    </x:row>
    <x:row r="31" ht="25" customHeight="1">
      <x:c r="A31" s="22" t="n">
        <x:v>42</x:v>
      </x:c>
      <x:c r="B31" s="18" t="n">
        <x:v>482.78</x:v>
      </x:c>
      <x:c r="C31" s="18" t="n">
        <x:v>528.6</x:v>
      </x:c>
      <x:c r="D31" s="23" t="str">
        <x:f>IF(OR(NOT(ISNUMBER($B$5)),$B$5&lt;=0),"",ROUND(B31*$B$5/'ข้อมูลลูกค้า'!$C$15,2))</x:f>
      </x:c>
      <x:c r="E31" s="23" t="str">
        <x:f>IF(OR(NOT(ISNUMBER($B$5)),$B$5&lt;=0),"",ROUND(C31*$B$5/'ข้อมูลลูกค้า'!$C$15,2))</x:f>
      </x:c>
    </x:row>
    <x:row r="32" ht="25" customHeight="1">
      <x:c r="A32" s="24" t="n">
        <x:v>43</x:v>
      </x:c>
      <x:c r="B32" s="25" t="n">
        <x:v>497.83</x:v>
      </x:c>
      <x:c r="C32" s="25" t="n">
        <x:v>542.91</x:v>
      </x:c>
      <x:c r="D32" s="23" t="str">
        <x:f>IF(OR(NOT(ISNUMBER($B$5)),$B$5&lt;=0),"",ROUND(B32*$B$5/'ข้อมูลลูกค้า'!$C$15,2))</x:f>
      </x:c>
      <x:c r="E32" s="23" t="str">
        <x:f>IF(OR(NOT(ISNUMBER($B$5)),$B$5&lt;=0),"",ROUND(C32*$B$5/'ข้อมูลลูกค้า'!$C$15,2))</x:f>
      </x:c>
    </x:row>
    <x:row r="33" ht="25" customHeight="1">
      <x:c r="A33" s="22" t="n">
        <x:v>44</x:v>
      </x:c>
      <x:c r="B33" s="18" t="n">
        <x:v>513.5</x:v>
      </x:c>
      <x:c r="C33" s="18" t="n">
        <x:v>557.99</x:v>
      </x:c>
      <x:c r="D33" s="23" t="str">
        <x:f>IF(OR(NOT(ISNUMBER($B$5)),$B$5&lt;=0),"",ROUND(B33*$B$5/'ข้อมูลลูกค้า'!$C$15,2))</x:f>
      </x:c>
      <x:c r="E33" s="23" t="str">
        <x:f>IF(OR(NOT(ISNUMBER($B$5)),$B$5&lt;=0),"",ROUND(C33*$B$5/'ข้อมูลลูกค้า'!$C$15,2))</x:f>
      </x:c>
    </x:row>
    <x:row r="34" ht="25" customHeight="1">
      <x:c r="A34" s="24" t="n">
        <x:v>45</x:v>
      </x:c>
      <x:c r="B34" s="25" t="n">
        <x:v>530.28</x:v>
      </x:c>
      <x:c r="C34" s="25" t="n">
        <x:v>573.69</x:v>
      </x:c>
      <x:c r="D34" s="23" t="str">
        <x:f>IF(OR(NOT(ISNUMBER($B$5)),$B$5&lt;=0),"",ROUND(B34*$B$5/'ข้อมูลลูกค้า'!$C$15,2))</x:f>
      </x:c>
      <x:c r="E34" s="23" t="str">
        <x:f>IF(OR(NOT(ISNUMBER($B$5)),$B$5&lt;=0),"",ROUND(C34*$B$5/'ข้อมูลลูกค้า'!$C$15,2))</x:f>
      </x:c>
    </x:row>
    <x:row r="35" ht="25" customHeight="1">
      <x:c r="A35" s="22" t="n">
        <x:v>46</x:v>
      </x:c>
      <x:c r="B35" s="18" t="n">
        <x:v>547.72</x:v>
      </x:c>
      <x:c r="C35" s="18" t="n">
        <x:v>590.18</x:v>
      </x:c>
      <x:c r="D35" s="23" t="str">
        <x:f>IF(OR(NOT(ISNUMBER($B$5)),$B$5&lt;=0),"",ROUND(B35*$B$5/'ข้อมูลลูกค้า'!$C$15,2))</x:f>
      </x:c>
      <x:c r="E35" s="23" t="str">
        <x:f>IF(OR(NOT(ISNUMBER($B$5)),$B$5&lt;=0),"",ROUND(C35*$B$5/'ข้อมูลลูกค้า'!$C$15,2))</x:f>
      </x:c>
    </x:row>
    <x:row r="36" ht="25" customHeight="1">
      <x:c r="A36" s="24" t="n">
        <x:v>47</x:v>
      </x:c>
      <x:c r="B36" s="25" t="n">
        <x:v>566.56</x:v>
      </x:c>
      <x:c r="C36" s="25" t="n">
        <x:v>607.51</x:v>
      </x:c>
      <x:c r="D36" s="23" t="str">
        <x:f>IF(OR(NOT(ISNUMBER($B$5)),$B$5&lt;=0),"",ROUND(B36*$B$5/'ข้อมูลลูกค้า'!$C$15,2))</x:f>
      </x:c>
      <x:c r="E36" s="23" t="str">
        <x:f>IF(OR(NOT(ISNUMBER($B$5)),$B$5&lt;=0),"",ROUND(C36*$B$5/'ข้อมูลลูกค้า'!$C$15,2))</x:f>
      </x:c>
    </x:row>
    <x:row r="37" ht="25" customHeight="1">
      <x:c r="A37" s="22" t="n">
        <x:v>48</x:v>
      </x:c>
      <x:c r="B37" s="18" t="n">
        <x:v>586.34</x:v>
      </x:c>
      <x:c r="C37" s="18" t="n">
        <x:v>625.54</x:v>
      </x:c>
      <x:c r="D37" s="23" t="str">
        <x:f>IF(OR(NOT(ISNUMBER($B$5)),$B$5&lt;=0),"",ROUND(B37*$B$5/'ข้อมูลลูกค้า'!$C$15,2))</x:f>
      </x:c>
      <x:c r="E37" s="23" t="str">
        <x:f>IF(OR(NOT(ISNUMBER($B$5)),$B$5&lt;=0),"",ROUND(C37*$B$5/'ข้อมูลลูกค้า'!$C$15,2))</x:f>
      </x:c>
    </x:row>
    <x:row r="38" ht="25" customHeight="1">
      <x:c r="A38" s="24" t="n">
        <x:v>49</x:v>
      </x:c>
      <x:c r="B38" s="25" t="n">
        <x:v>607.7</x:v>
      </x:c>
      <x:c r="C38" s="25" t="n">
        <x:v>644.84</x:v>
      </x:c>
      <x:c r="D38" s="23" t="str">
        <x:f>IF(OR(NOT(ISNUMBER($B$5)),$B$5&lt;=0),"",ROUND(B38*$B$5/'ข้อมูลลูกค้า'!$C$15,2))</x:f>
      </x:c>
      <x:c r="E38" s="23" t="str">
        <x:f>IF(OR(NOT(ISNUMBER($B$5)),$B$5&lt;=0),"",ROUND(C38*$B$5/'ข้อมูลลูกค้า'!$C$15,2))</x:f>
      </x:c>
    </x:row>
    <x:row r="39" ht="25" customHeight="1">
      <x:c r="A39" s="22" t="n">
        <x:v>50</x:v>
      </x:c>
      <x:c r="B39" s="18" t="n">
        <x:v>630.28</x:v>
      </x:c>
      <x:c r="C39" s="18" t="n">
        <x:v>664.88</x:v>
      </x:c>
      <x:c r="D39" s="23" t="str">
        <x:f>IF(OR(NOT(ISNUMBER($B$5)),$B$5&lt;=0),"",ROUND(B39*$B$5/'ข้อมูลลูกค้า'!$C$15,2))</x:f>
      </x:c>
      <x:c r="E39" s="23" t="str">
        <x:f>IF(OR(NOT(ISNUMBER($B$5)),$B$5&lt;=0),"",ROUND(C39*$B$5/'ข้อมูลลูกค้า'!$C$15,2))</x:f>
      </x:c>
    </x:row>
    <x:row r="40" ht="25" customHeight="1">
      <x:c r="A40" s="24" t="n">
        <x:v>51</x:v>
      </x:c>
      <x:c r="B40" s="25" t="n">
        <x:v>654.72</x:v>
      </x:c>
      <x:c r="C40" s="25" t="n">
        <x:v>686.53</x:v>
      </x:c>
      <x:c r="D40" s="23" t="str">
        <x:f>IF(OR(NOT(ISNUMBER($B$5)),$B$5&lt;=0),"",ROUND(B40*$B$5/'ข้อมูลลูกค้า'!$C$15,2))</x:f>
      </x:c>
      <x:c r="E40" s="23" t="str">
        <x:f>IF(OR(NOT(ISNUMBER($B$5)),$B$5&lt;=0),"",ROUND(C40*$B$5/'ข้อมูลลูกค้า'!$C$15,2))</x:f>
      </x:c>
    </x:row>
    <x:row r="41" ht="25" customHeight="1">
      <x:c r="A41" s="22" t="n">
        <x:v>52</x:v>
      </x:c>
      <x:c r="B41" s="18" t="n">
        <x:v>681.17</x:v>
      </x:c>
      <x:c r="C41" s="18" t="n">
        <x:v>709.21</x:v>
      </x:c>
      <x:c r="D41" s="23" t="str">
        <x:f>IF(OR(NOT(ISNUMBER($B$5)),$B$5&lt;=0),"",ROUND(B41*$B$5/'ข้อมูลลูกค้า'!$C$15,2))</x:f>
      </x:c>
      <x:c r="E41" s="23" t="str">
        <x:f>IF(OR(NOT(ISNUMBER($B$5)),$B$5&lt;=0),"",ROUND(C41*$B$5/'ข้อมูลลูกค้า'!$C$15,2))</x:f>
      </x:c>
    </x:row>
    <x:row r="42" ht="25" customHeight="1">
      <x:c r="A42" s="24" t="n">
        <x:v>53</x:v>
      </x:c>
      <x:c r="B42" s="25" t="n">
        <x:v>709.71</x:v>
      </x:c>
      <x:c r="C42" s="25" t="n">
        <x:v>733.76</x:v>
      </x:c>
      <x:c r="D42" s="23" t="str">
        <x:f>IF(OR(NOT(ISNUMBER($B$5)),$B$5&lt;=0),"",ROUND(B42*$B$5/'ข้อมูลลูกค้า'!$C$15,2))</x:f>
      </x:c>
      <x:c r="E42" s="23" t="str">
        <x:f>IF(OR(NOT(ISNUMBER($B$5)),$B$5&lt;=0),"",ROUND(C42*$B$5/'ข้อมูลลูกค้า'!$C$15,2))</x:f>
      </x:c>
    </x:row>
    <x:row r="43" ht="25" customHeight="1">
      <x:c r="A43" s="22" t="n">
        <x:v>54</x:v>
      </x:c>
      <x:c r="B43" s="18" t="n">
        <x:v>741.31</x:v>
      </x:c>
      <x:c r="C43" s="18" t="n">
        <x:v>760.01</x:v>
      </x:c>
      <x:c r="D43" s="23" t="str">
        <x:f>IF(OR(NOT(ISNUMBER($B$5)),$B$5&lt;=0),"",ROUND(B43*$B$5/'ข้อมูลลูกค้า'!$C$15,2))</x:f>
      </x:c>
      <x:c r="E43" s="23" t="str">
        <x:f>IF(OR(NOT(ISNUMBER($B$5)),$B$5&lt;=0),"",ROUND(C43*$B$5/'ข้อมูลลูกค้า'!$C$15,2))</x:f>
      </x:c>
    </x:row>
    <x:row r="44" ht="25" customHeight="1">
      <x:c r="A44" s="24" t="n">
        <x:v>55</x:v>
      </x:c>
      <x:c r="B44" s="25" t="n">
        <x:v>776.51</x:v>
      </x:c>
      <x:c r="C44" s="25" t="n">
        <x:v>788.15</x:v>
      </x:c>
      <x:c r="D44" s="23" t="str">
        <x:f>IF(OR(NOT(ISNUMBER($B$5)),$B$5&lt;=0),"",ROUND(B44*$B$5/'ข้อมูลลูกค้า'!$C$15,2))</x:f>
      </x:c>
      <x:c r="E44" s="23" t="str">
        <x:f>IF(OR(NOT(ISNUMBER($B$5)),$B$5&lt;=0),"",ROUND(C44*$B$5/'ข้อมูลลูกค้า'!$C$15,2))</x:f>
      </x:c>
    </x:row>
    <x:row r="45" ht="25" customHeight="1">
      <x:c r="A45" s="2"/>
      <x:c r="B45" s="2"/>
      <x:c r="C45" s="2"/>
      <x:c r="D45" s="2"/>
      <x:c r="E45" s="2"/>
    </x:row>
    <x:row r="46" ht="25" customHeight="1">
      <x:c r="A46" s="2"/>
      <x:c r="B46" s="2"/>
      <x:c r="C46" s="2"/>
      <x:c r="D46" s="2"/>
      <x:c r="E4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17" t="str">
        <x:v>เฟล็กซี่ รีไทร์ 90/5 ดี 65 (บำนาญแบบลดหย่อนได้)</x:v>
      </x:c>
      <x:c r="B2" s="17"/>
      <x:c r="C2" s="17"/>
      <x:c r="D2" s="17"/>
      <x:c r="E2" s="17"/>
    </x:row>
    <x:row r="3" ht="25" customHeight="1">
      <x:c r="A3" s="2" t="str">
        <x:v>แหล่งข้อมูล: flexi retire.pdf หน้า 1 (ไฟล์ที่แนบ)</x:v>
      </x:c>
      <x:c r="B3" s="2"/>
      <x:c r="C3" s="2"/>
      <x:c r="D3" s="2"/>
      <x:c r="E3" s="2"/>
    </x:row>
    <x:row r="4" ht="25" customHeight="1">
      <x:c r="A4" s="2" t="str">
        <x:v>อัตราเบี้ยรายปีต่อทุนประกัน 1,000 บาท ไม่มีส่วนลด</x:v>
      </x:c>
      <x:c r="B4" s="2"/>
      <x:c r="C4" s="2"/>
      <x:c r="D4" s="2"/>
      <x:c r="E4" s="2"/>
    </x:row>
    <x:row r="5" ht="25" customHeight="1">
      <x:c r="A5" s="2" t="str">
        <x:v>ทุนที่ใช้คำนวณ</x:v>
      </x:c>
      <x:c r="B5" s="18" t="str">
        <x:f>IF('ข้อมูลลูกค้า'!C8="","",'ข้อมูลลูกค้า'!C8)</x:f>
      </x:c>
      <x:c r="C5" s="2" t="str">
        <x:v>บาท (จากหน้าข้อมูลลูกค้า)</x:v>
      </x:c>
      <x:c r="D5" s="2"/>
      <x:c r="E5" s="2"/>
    </x:row>
    <x:row r="6" ht="25" customHeight="1">
      <x:c r="A6" s="2" t="str">
        <x:v>ช่วงอายุในตาราง: 20–55 ปี</x:v>
      </x:c>
      <x:c r="B6" s="2"/>
      <x:c r="C6" s="2"/>
      <x:c r="D6" s="2"/>
      <x:c r="E6" s="2"/>
    </x:row>
    <x:row r="7" ht="25" customHeight="1">
      <x:c r="A7" s="2"/>
      <x:c r="B7" s="2"/>
      <x:c r="C7" s="2"/>
      <x:c r="D7" s="2"/>
      <x:c r="E7" s="2"/>
    </x:row>
    <x:row r="8" ht="30" customHeight="1">
      <x:c r="A8" s="21" t="str">
        <x:v>อายุ (ปี)</x:v>
      </x:c>
      <x:c r="B8" s="21" t="str">
        <x:v>อัตรารายปี ชาย</x:v>
      </x:c>
      <x:c r="C8" s="21" t="str">
        <x:v>อัตรารายปี หญิง</x:v>
      </x:c>
      <x:c r="D8" s="21" t="str">
        <x:v>เบี้ยรายปี ชาย (บาท)</x:v>
      </x:c>
      <x:c r="E8" s="21" t="str">
        <x:v>เบี้ยรายปี หญิง (บาท)</x:v>
      </x:c>
    </x:row>
    <x:row r="9" ht="25" customHeight="1">
      <x:c r="A9" s="22" t="n">
        <x:v>20</x:v>
      </x:c>
      <x:c r="B9" s="18" t="n">
        <x:v>216.51</x:v>
      </x:c>
      <x:c r="C9" s="18" t="n">
        <x:v>257.25</x:v>
      </x:c>
      <x:c r="D9" s="23" t="str">
        <x:f>IF(OR(NOT(ISNUMBER($B$5)),$B$5&lt;=0),"",ROUND(B9*$B$5/'ข้อมูลลูกค้า'!$C$15,2))</x:f>
      </x:c>
      <x:c r="E9" s="23" t="str">
        <x:f>IF(OR(NOT(ISNUMBER($B$5)),$B$5&lt;=0),"",ROUND(C9*$B$5/'ข้อมูลลูกค้า'!$C$15,2))</x:f>
      </x:c>
    </x:row>
    <x:row r="10" ht="25" customHeight="1">
      <x:c r="A10" s="24" t="n">
        <x:v>21</x:v>
      </x:c>
      <x:c r="B10" s="25" t="n">
        <x:v>221.94</x:v>
      </x:c>
      <x:c r="C10" s="25" t="n">
        <x:v>263.12</x:v>
      </x:c>
      <x:c r="D10" s="23" t="str">
        <x:f>IF(OR(NOT(ISNUMBER($B$5)),$B$5&lt;=0),"",ROUND(B10*$B$5/'ข้อมูลลูกค้า'!$C$15,2))</x:f>
      </x:c>
      <x:c r="E10" s="23" t="str">
        <x:f>IF(OR(NOT(ISNUMBER($B$5)),$B$5&lt;=0),"",ROUND(C10*$B$5/'ข้อมูลลูกค้า'!$C$15,2))</x:f>
      </x:c>
    </x:row>
    <x:row r="11" ht="25" customHeight="1">
      <x:c r="A11" s="22" t="n">
        <x:v>22</x:v>
      </x:c>
      <x:c r="B11" s="18" t="n">
        <x:v>227.53</x:v>
      </x:c>
      <x:c r="C11" s="18" t="n">
        <x:v>269.2</x:v>
      </x:c>
      <x:c r="D11" s="23" t="str">
        <x:f>IF(OR(NOT(ISNUMBER($B$5)),$B$5&lt;=0),"",ROUND(B11*$B$5/'ข้อมูลลูกค้า'!$C$15,2))</x:f>
      </x:c>
      <x:c r="E11" s="23" t="str">
        <x:f>IF(OR(NOT(ISNUMBER($B$5)),$B$5&lt;=0),"",ROUND(C11*$B$5/'ข้อมูลลูกค้า'!$C$15,2))</x:f>
      </x:c>
    </x:row>
    <x:row r="12" ht="25" customHeight="1">
      <x:c r="A12" s="24" t="n">
        <x:v>23</x:v>
      </x:c>
      <x:c r="B12" s="25" t="n">
        <x:v>233.28</x:v>
      </x:c>
      <x:c r="C12" s="25" t="n">
        <x:v>275.46</x:v>
      </x:c>
      <x:c r="D12" s="23" t="str">
        <x:f>IF(OR(NOT(ISNUMBER($B$5)),$B$5&lt;=0),"",ROUND(B12*$B$5/'ข้อมูลลูกค้า'!$C$15,2))</x:f>
      </x:c>
      <x:c r="E12" s="23" t="str">
        <x:f>IF(OR(NOT(ISNUMBER($B$5)),$B$5&lt;=0),"",ROUND(C12*$B$5/'ข้อมูลลูกค้า'!$C$15,2))</x:f>
      </x:c>
    </x:row>
    <x:row r="13" ht="25" customHeight="1">
      <x:c r="A13" s="22" t="n">
        <x:v>24</x:v>
      </x:c>
      <x:c r="B13" s="18" t="n">
        <x:v>239.28</x:v>
      </x:c>
      <x:c r="C13" s="18" t="n">
        <x:v>281.87</x:v>
      </x:c>
      <x:c r="D13" s="23" t="str">
        <x:f>IF(OR(NOT(ISNUMBER($B$5)),$B$5&lt;=0),"",ROUND(B13*$B$5/'ข้อมูลลูกค้า'!$C$15,2))</x:f>
      </x:c>
      <x:c r="E13" s="23" t="str">
        <x:f>IF(OR(NOT(ISNUMBER($B$5)),$B$5&lt;=0),"",ROUND(C13*$B$5/'ข้อมูลลูกค้า'!$C$15,2))</x:f>
      </x:c>
    </x:row>
    <x:row r="14" ht="25" customHeight="1">
      <x:c r="A14" s="24" t="n">
        <x:v>25</x:v>
      </x:c>
      <x:c r="B14" s="25" t="n">
        <x:v>245.48</x:v>
      </x:c>
      <x:c r="C14" s="25" t="n">
        <x:v>288.45</x:v>
      </x:c>
      <x:c r="D14" s="23" t="str">
        <x:f>IF(OR(NOT(ISNUMBER($B$5)),$B$5&lt;=0),"",ROUND(B14*$B$5/'ข้อมูลลูกค้า'!$C$15,2))</x:f>
      </x:c>
      <x:c r="E14" s="23" t="str">
        <x:f>IF(OR(NOT(ISNUMBER($B$5)),$B$5&lt;=0),"",ROUND(C14*$B$5/'ข้อมูลลูกค้า'!$C$15,2))</x:f>
      </x:c>
    </x:row>
    <x:row r="15" ht="25" customHeight="1">
      <x:c r="A15" s="22" t="n">
        <x:v>26</x:v>
      </x:c>
      <x:c r="B15" s="18" t="n">
        <x:v>251.86</x:v>
      </x:c>
      <x:c r="C15" s="18" t="n">
        <x:v>295.22</x:v>
      </x:c>
      <x:c r="D15" s="23" t="str">
        <x:f>IF(OR(NOT(ISNUMBER($B$5)),$B$5&lt;=0),"",ROUND(B15*$B$5/'ข้อมูลลูกค้า'!$C$15,2))</x:f>
      </x:c>
      <x:c r="E15" s="23" t="str">
        <x:f>IF(OR(NOT(ISNUMBER($B$5)),$B$5&lt;=0),"",ROUND(C15*$B$5/'ข้อมูลลูกค้า'!$C$15,2))</x:f>
      </x:c>
    </x:row>
    <x:row r="16" ht="25" customHeight="1">
      <x:c r="A16" s="24" t="n">
        <x:v>27</x:v>
      </x:c>
      <x:c r="B16" s="25" t="n">
        <x:v>258.45</x:v>
      </x:c>
      <x:c r="C16" s="25" t="n">
        <x:v>302.26</x:v>
      </x:c>
      <x:c r="D16" s="23" t="str">
        <x:f>IF(OR(NOT(ISNUMBER($B$5)),$B$5&lt;=0),"",ROUND(B16*$B$5/'ข้อมูลลูกค้า'!$C$15,2))</x:f>
      </x:c>
      <x:c r="E16" s="23" t="str">
        <x:f>IF(OR(NOT(ISNUMBER($B$5)),$B$5&lt;=0),"",ROUND(C16*$B$5/'ข้อมูลลูกค้า'!$C$15,2))</x:f>
      </x:c>
    </x:row>
    <x:row r="17" ht="25" customHeight="1">
      <x:c r="A17" s="22" t="n">
        <x:v>28</x:v>
      </x:c>
      <x:c r="B17" s="18" t="n">
        <x:v>265.26</x:v>
      </x:c>
      <x:c r="C17" s="18" t="n">
        <x:v>309.49</x:v>
      </x:c>
      <x:c r="D17" s="23" t="str">
        <x:f>IF(OR(NOT(ISNUMBER($B$5)),$B$5&lt;=0),"",ROUND(B17*$B$5/'ข้อมูลลูกค้า'!$C$15,2))</x:f>
      </x:c>
      <x:c r="E17" s="23" t="str">
        <x:f>IF(OR(NOT(ISNUMBER($B$5)),$B$5&lt;=0),"",ROUND(C17*$B$5/'ข้อมูลลูกค้า'!$C$15,2))</x:f>
      </x:c>
    </x:row>
    <x:row r="18" ht="25" customHeight="1">
      <x:c r="A18" s="24" t="n">
        <x:v>29</x:v>
      </x:c>
      <x:c r="B18" s="25" t="n">
        <x:v>272.39</x:v>
      </x:c>
      <x:c r="C18" s="25" t="n">
        <x:v>316.91</x:v>
      </x:c>
      <x:c r="D18" s="23" t="str">
        <x:f>IF(OR(NOT(ISNUMBER($B$5)),$B$5&lt;=0),"",ROUND(B18*$B$5/'ข้อมูลลูกค้า'!$C$15,2))</x:f>
      </x:c>
      <x:c r="E18" s="23" t="str">
        <x:f>IF(OR(NOT(ISNUMBER($B$5)),$B$5&lt;=0),"",ROUND(C18*$B$5/'ข้อมูลลูกค้า'!$C$15,2))</x:f>
      </x:c>
    </x:row>
    <x:row r="19" ht="25" customHeight="1">
      <x:c r="A19" s="22" t="n">
        <x:v>30</x:v>
      </x:c>
      <x:c r="B19" s="18" t="n">
        <x:v>279.75</x:v>
      </x:c>
      <x:c r="C19" s="18" t="n">
        <x:v>324.54</x:v>
      </x:c>
      <x:c r="D19" s="23" t="str">
        <x:f>IF(OR(NOT(ISNUMBER($B$5)),$B$5&lt;=0),"",ROUND(B19*$B$5/'ข้อมูลลูกค้า'!$C$15,2))</x:f>
      </x:c>
      <x:c r="E19" s="23" t="str">
        <x:f>IF(OR(NOT(ISNUMBER($B$5)),$B$5&lt;=0),"",ROUND(C19*$B$5/'ข้อมูลลูกค้า'!$C$15,2))</x:f>
      </x:c>
    </x:row>
    <x:row r="20" ht="25" customHeight="1">
      <x:c r="A20" s="24" t="n">
        <x:v>31</x:v>
      </x:c>
      <x:c r="B20" s="25" t="n">
        <x:v>287.35</x:v>
      </x:c>
      <x:c r="C20" s="25" t="n">
        <x:v>332.42</x:v>
      </x:c>
      <x:c r="D20" s="23" t="str">
        <x:f>IF(OR(NOT(ISNUMBER($B$5)),$B$5&lt;=0),"",ROUND(B20*$B$5/'ข้อมูลลูกค้า'!$C$15,2))</x:f>
      </x:c>
      <x:c r="E20" s="23" t="str">
        <x:f>IF(OR(NOT(ISNUMBER($B$5)),$B$5&lt;=0),"",ROUND(C20*$B$5/'ข้อมูลลูกค้า'!$C$15,2))</x:f>
      </x:c>
    </x:row>
    <x:row r="21" ht="25" customHeight="1">
      <x:c r="A21" s="22" t="n">
        <x:v>32</x:v>
      </x:c>
      <x:c r="B21" s="18" t="n">
        <x:v>295.21</x:v>
      </x:c>
      <x:c r="C21" s="18" t="n">
        <x:v>340.62</x:v>
      </x:c>
      <x:c r="D21" s="23" t="str">
        <x:f>IF(OR(NOT(ISNUMBER($B$5)),$B$5&lt;=0),"",ROUND(B21*$B$5/'ข้อมูลลูกค้า'!$C$15,2))</x:f>
      </x:c>
      <x:c r="E21" s="23" t="str">
        <x:f>IF(OR(NOT(ISNUMBER($B$5)),$B$5&lt;=0),"",ROUND(C21*$B$5/'ข้อมูลลูกค้า'!$C$15,2))</x:f>
      </x:c>
    </x:row>
    <x:row r="22" ht="25" customHeight="1">
      <x:c r="A22" s="24" t="n">
        <x:v>33</x:v>
      </x:c>
      <x:c r="B22" s="25" t="n">
        <x:v>303.5</x:v>
      </x:c>
      <x:c r="C22" s="25" t="n">
        <x:v>349.06</x:v>
      </x:c>
      <x:c r="D22" s="23" t="str">
        <x:f>IF(OR(NOT(ISNUMBER($B$5)),$B$5&lt;=0),"",ROUND(B22*$B$5/'ข้อมูลลูกค้า'!$C$15,2))</x:f>
      </x:c>
      <x:c r="E22" s="23" t="str">
        <x:f>IF(OR(NOT(ISNUMBER($B$5)),$B$5&lt;=0),"",ROUND(C22*$B$5/'ข้อมูลลูกค้า'!$C$15,2))</x:f>
      </x:c>
    </x:row>
    <x:row r="23" ht="25" customHeight="1">
      <x:c r="A23" s="22" t="n">
        <x:v>34</x:v>
      </x:c>
      <x:c r="B23" s="18" t="n">
        <x:v>312.06</x:v>
      </x:c>
      <x:c r="C23" s="18" t="n">
        <x:v>357.73</x:v>
      </x:c>
      <x:c r="D23" s="23" t="str">
        <x:f>IF(OR(NOT(ISNUMBER($B$5)),$B$5&lt;=0),"",ROUND(B23*$B$5/'ข้อมูลลูกค้า'!$C$15,2))</x:f>
      </x:c>
      <x:c r="E23" s="23" t="str">
        <x:f>IF(OR(NOT(ISNUMBER($B$5)),$B$5&lt;=0),"",ROUND(C23*$B$5/'ข้อมูลลูกค้า'!$C$15,2))</x:f>
      </x:c>
    </x:row>
    <x:row r="24" ht="25" customHeight="1">
      <x:c r="A24" s="24" t="n">
        <x:v>35</x:v>
      </x:c>
      <x:c r="B24" s="25" t="n">
        <x:v>320.89</x:v>
      </x:c>
      <x:c r="C24" s="25" t="n">
        <x:v>366.68</x:v>
      </x:c>
      <x:c r="D24" s="23" t="str">
        <x:f>IF(OR(NOT(ISNUMBER($B$5)),$B$5&lt;=0),"",ROUND(B24*$B$5/'ข้อมูลลูกค้า'!$C$15,2))</x:f>
      </x:c>
      <x:c r="E24" s="23" t="str">
        <x:f>IF(OR(NOT(ISNUMBER($B$5)),$B$5&lt;=0),"",ROUND(C24*$B$5/'ข้อมูลลูกค้า'!$C$15,2))</x:f>
      </x:c>
    </x:row>
    <x:row r="25" ht="25" customHeight="1">
      <x:c r="A25" s="22" t="n">
        <x:v>36</x:v>
      </x:c>
      <x:c r="B25" s="18" t="n">
        <x:v>330.03</x:v>
      </x:c>
      <x:c r="C25" s="18" t="n">
        <x:v>376.05</x:v>
      </x:c>
      <x:c r="D25" s="23" t="str">
        <x:f>IF(OR(NOT(ISNUMBER($B$5)),$B$5&lt;=0),"",ROUND(B25*$B$5/'ข้อมูลลูกค้า'!$C$15,2))</x:f>
      </x:c>
      <x:c r="E25" s="23" t="str">
        <x:f>IF(OR(NOT(ISNUMBER($B$5)),$B$5&lt;=0),"",ROUND(C25*$B$5/'ข้อมูลลูกค้า'!$C$15,2))</x:f>
      </x:c>
    </x:row>
    <x:row r="26" ht="25" customHeight="1">
      <x:c r="A26" s="24" t="n">
        <x:v>37</x:v>
      </x:c>
      <x:c r="B26" s="25" t="n">
        <x:v>339.73</x:v>
      </x:c>
      <x:c r="C26" s="25" t="n">
        <x:v>385.71</x:v>
      </x:c>
      <x:c r="D26" s="23" t="str">
        <x:f>IF(OR(NOT(ISNUMBER($B$5)),$B$5&lt;=0),"",ROUND(B26*$B$5/'ข้อมูลลูกค้า'!$C$15,2))</x:f>
      </x:c>
      <x:c r="E26" s="23" t="str">
        <x:f>IF(OR(NOT(ISNUMBER($B$5)),$B$5&lt;=0),"",ROUND(C26*$B$5/'ข้อมูลลูกค้า'!$C$15,2))</x:f>
      </x:c>
    </x:row>
    <x:row r="27" ht="25" customHeight="1">
      <x:c r="A27" s="22" t="n">
        <x:v>38</x:v>
      </x:c>
      <x:c r="B27" s="18" t="n">
        <x:v>349.77</x:v>
      </x:c>
      <x:c r="C27" s="18" t="n">
        <x:v>395.66</x:v>
      </x:c>
      <x:c r="D27" s="23" t="str">
        <x:f>IF(OR(NOT(ISNUMBER($B$5)),$B$5&lt;=0),"",ROUND(B27*$B$5/'ข้อมูลลูกค้า'!$C$15,2))</x:f>
      </x:c>
      <x:c r="E27" s="23" t="str">
        <x:f>IF(OR(NOT(ISNUMBER($B$5)),$B$5&lt;=0),"",ROUND(C27*$B$5/'ข้อมูลลูกค้า'!$C$15,2))</x:f>
      </x:c>
    </x:row>
    <x:row r="28" ht="25" customHeight="1">
      <x:c r="A28" s="24" t="n">
        <x:v>39</x:v>
      </x:c>
      <x:c r="B28" s="25" t="n">
        <x:v>360.16</x:v>
      </x:c>
      <x:c r="C28" s="25" t="n">
        <x:v>405.99</x:v>
      </x:c>
      <x:c r="D28" s="23" t="str">
        <x:f>IF(OR(NOT(ISNUMBER($B$5)),$B$5&lt;=0),"",ROUND(B28*$B$5/'ข้อมูลลูกค้า'!$C$15,2))</x:f>
      </x:c>
      <x:c r="E28" s="23" t="str">
        <x:f>IF(OR(NOT(ISNUMBER($B$5)),$B$5&lt;=0),"",ROUND(C28*$B$5/'ข้อมูลลูกค้า'!$C$15,2))</x:f>
      </x:c>
    </x:row>
    <x:row r="29" ht="25" customHeight="1">
      <x:c r="A29" s="22" t="n">
        <x:v>40</x:v>
      </x:c>
      <x:c r="B29" s="18" t="n">
        <x:v>371.06</x:v>
      </x:c>
      <x:c r="C29" s="18" t="n">
        <x:v>416.81</x:v>
      </x:c>
      <x:c r="D29" s="23" t="str">
        <x:f>IF(OR(NOT(ISNUMBER($B$5)),$B$5&lt;=0),"",ROUND(B29*$B$5/'ข้อมูลลูกค้า'!$C$15,2))</x:f>
      </x:c>
      <x:c r="E29" s="23" t="str">
        <x:f>IF(OR(NOT(ISNUMBER($B$5)),$B$5&lt;=0),"",ROUND(C29*$B$5/'ข้อมูลลูกค้า'!$C$15,2))</x:f>
      </x:c>
    </x:row>
    <x:row r="30" ht="25" customHeight="1">
      <x:c r="A30" s="24" t="n">
        <x:v>41</x:v>
      </x:c>
      <x:c r="B30" s="25" t="n">
        <x:v>382.56</x:v>
      </x:c>
      <x:c r="C30" s="25" t="n">
        <x:v>427.97</x:v>
      </x:c>
      <x:c r="D30" s="23" t="str">
        <x:f>IF(OR(NOT(ISNUMBER($B$5)),$B$5&lt;=0),"",ROUND(B30*$B$5/'ข้อมูลลูกค้า'!$C$15,2))</x:f>
      </x:c>
      <x:c r="E30" s="23" t="str">
        <x:f>IF(OR(NOT(ISNUMBER($B$5)),$B$5&lt;=0),"",ROUND(C30*$B$5/'ข้อมูลลูกค้า'!$C$15,2))</x:f>
      </x:c>
    </x:row>
    <x:row r="31" ht="25" customHeight="1">
      <x:c r="A31" s="22" t="n">
        <x:v>42</x:v>
      </x:c>
      <x:c r="B31" s="18" t="n">
        <x:v>394.48</x:v>
      </x:c>
      <x:c r="C31" s="18" t="n">
        <x:v>439.51</x:v>
      </x:c>
      <x:c r="D31" s="23" t="str">
        <x:f>IF(OR(NOT(ISNUMBER($B$5)),$B$5&lt;=0),"",ROUND(B31*$B$5/'ข้อมูลลูกค้า'!$C$15,2))</x:f>
      </x:c>
      <x:c r="E31" s="23" t="str">
        <x:f>IF(OR(NOT(ISNUMBER($B$5)),$B$5&lt;=0),"",ROUND(C31*$B$5/'ข้อมูลลูกค้า'!$C$15,2))</x:f>
      </x:c>
    </x:row>
    <x:row r="32" ht="25" customHeight="1">
      <x:c r="A32" s="24" t="n">
        <x:v>43</x:v>
      </x:c>
      <x:c r="B32" s="25" t="n">
        <x:v>407</x:v>
      </x:c>
      <x:c r="C32" s="25" t="n">
        <x:v>451.73</x:v>
      </x:c>
      <x:c r="D32" s="23" t="str">
        <x:f>IF(OR(NOT(ISNUMBER($B$5)),$B$5&lt;=0),"",ROUND(B32*$B$5/'ข้อมูลลูกค้า'!$C$15,2))</x:f>
      </x:c>
      <x:c r="E32" s="23" t="str">
        <x:f>IF(OR(NOT(ISNUMBER($B$5)),$B$5&lt;=0),"",ROUND(C32*$B$5/'ข้อมูลลูกค้า'!$C$15,2))</x:f>
      </x:c>
    </x:row>
    <x:row r="33" ht="25" customHeight="1">
      <x:c r="A33" s="22" t="n">
        <x:v>44</x:v>
      </x:c>
      <x:c r="B33" s="18" t="n">
        <x:v>420.29</x:v>
      </x:c>
      <x:c r="C33" s="18" t="n">
        <x:v>464.33</x:v>
      </x:c>
      <x:c r="D33" s="23" t="str">
        <x:f>IF(OR(NOT(ISNUMBER($B$5)),$B$5&lt;=0),"",ROUND(B33*$B$5/'ข้อมูลลูกค้า'!$C$15,2))</x:f>
      </x:c>
      <x:c r="E33" s="23" t="str">
        <x:f>IF(OR(NOT(ISNUMBER($B$5)),$B$5&lt;=0),"",ROUND(C33*$B$5/'ข้อมูลลูกค้า'!$C$15,2))</x:f>
      </x:c>
    </x:row>
    <x:row r="34" ht="25" customHeight="1">
      <x:c r="A34" s="24" t="n">
        <x:v>45</x:v>
      </x:c>
      <x:c r="B34" s="25" t="n">
        <x:v>434.08</x:v>
      </x:c>
      <x:c r="C34" s="25" t="n">
        <x:v>477.47</x:v>
      </x:c>
      <x:c r="D34" s="23" t="str">
        <x:f>IF(OR(NOT(ISNUMBER($B$5)),$B$5&lt;=0),"",ROUND(B34*$B$5/'ข้อมูลลูกค้า'!$C$15,2))</x:f>
      </x:c>
      <x:c r="E34" s="23" t="str">
        <x:f>IF(OR(NOT(ISNUMBER($B$5)),$B$5&lt;=0),"",ROUND(C34*$B$5/'ข้อมูลลูกค้า'!$C$15,2))</x:f>
      </x:c>
    </x:row>
    <x:row r="35" ht="25" customHeight="1">
      <x:c r="A35" s="22" t="n">
        <x:v>46</x:v>
      </x:c>
      <x:c r="B35" s="18" t="n">
        <x:v>448.82</x:v>
      </x:c>
      <x:c r="C35" s="18" t="n">
        <x:v>491.39</x:v>
      </x:c>
      <x:c r="D35" s="23" t="str">
        <x:f>IF(OR(NOT(ISNUMBER($B$5)),$B$5&lt;=0),"",ROUND(B35*$B$5/'ข้อมูลลูกค้า'!$C$15,2))</x:f>
      </x:c>
      <x:c r="E35" s="23" t="str">
        <x:f>IF(OR(NOT(ISNUMBER($B$5)),$B$5&lt;=0),"",ROUND(C35*$B$5/'ข้อมูลลูกค้า'!$C$15,2))</x:f>
      </x:c>
    </x:row>
    <x:row r="36" ht="25" customHeight="1">
      <x:c r="A36" s="24" t="n">
        <x:v>47</x:v>
      </x:c>
      <x:c r="B36" s="25" t="n">
        <x:v>464.33</x:v>
      </x:c>
      <x:c r="C36" s="25" t="n">
        <x:v>505.78</x:v>
      </x:c>
      <x:c r="D36" s="23" t="str">
        <x:f>IF(OR(NOT(ISNUMBER($B$5)),$B$5&lt;=0),"",ROUND(B36*$B$5/'ข้อมูลลูกค้า'!$C$15,2))</x:f>
      </x:c>
      <x:c r="E36" s="23" t="str">
        <x:f>IF(OR(NOT(ISNUMBER($B$5)),$B$5&lt;=0),"",ROUND(C36*$B$5/'ข้อมูลลูกค้า'!$C$15,2))</x:f>
      </x:c>
    </x:row>
    <x:row r="37" ht="25" customHeight="1">
      <x:c r="A37" s="22" t="n">
        <x:v>48</x:v>
      </x:c>
      <x:c r="B37" s="18" t="n">
        <x:v>480.76</x:v>
      </x:c>
      <x:c r="C37" s="18" t="n">
        <x:v>520.85</x:v>
      </x:c>
      <x:c r="D37" s="23" t="str">
        <x:f>IF(OR(NOT(ISNUMBER($B$5)),$B$5&lt;=0),"",ROUND(B37*$B$5/'ข้อมูลลูกค้า'!$C$15,2))</x:f>
      </x:c>
      <x:c r="E37" s="23" t="str">
        <x:f>IF(OR(NOT(ISNUMBER($B$5)),$B$5&lt;=0),"",ROUND(C37*$B$5/'ข้อมูลลูกค้า'!$C$15,2))</x:f>
      </x:c>
    </x:row>
    <x:row r="38" ht="25" customHeight="1">
      <x:c r="A38" s="24" t="n">
        <x:v>49</x:v>
      </x:c>
      <x:c r="B38" s="25" t="n">
        <x:v>498.36</x:v>
      </x:c>
      <x:c r="C38" s="25" t="n">
        <x:v>536.87</x:v>
      </x:c>
      <x:c r="D38" s="23" t="str">
        <x:f>IF(OR(NOT(ISNUMBER($B$5)),$B$5&lt;=0),"",ROUND(B38*$B$5/'ข้อมูลลูกค้า'!$C$15,2))</x:f>
      </x:c>
      <x:c r="E38" s="23" t="str">
        <x:f>IF(OR(NOT(ISNUMBER($B$5)),$B$5&lt;=0),"",ROUND(C38*$B$5/'ข้อมูลลูกค้า'!$C$15,2))</x:f>
      </x:c>
    </x:row>
    <x:row r="39" ht="25" customHeight="1">
      <x:c r="A39" s="22" t="n">
        <x:v>50</x:v>
      </x:c>
      <x:c r="B39" s="18" t="n">
        <x:v>516.72</x:v>
      </x:c>
      <x:c r="C39" s="18" t="n">
        <x:v>553.48</x:v>
      </x:c>
      <x:c r="D39" s="23" t="str">
        <x:f>IF(OR(NOT(ISNUMBER($B$5)),$B$5&lt;=0),"",ROUND(B39*$B$5/'ข้อมูลลูกค้า'!$C$15,2))</x:f>
      </x:c>
      <x:c r="E39" s="23" t="str">
        <x:f>IF(OR(NOT(ISNUMBER($B$5)),$B$5&lt;=0),"",ROUND(C39*$B$5/'ข้อมูลลูกค้า'!$C$15,2))</x:f>
      </x:c>
    </x:row>
    <x:row r="40" ht="25" customHeight="1">
      <x:c r="A40" s="24" t="n">
        <x:v>51</x:v>
      </x:c>
      <x:c r="B40" s="25" t="n">
        <x:v>536.86</x:v>
      </x:c>
      <x:c r="C40" s="25" t="n">
        <x:v>571.26</x:v>
      </x:c>
      <x:c r="D40" s="23" t="str">
        <x:f>IF(OR(NOT(ISNUMBER($B$5)),$B$5&lt;=0),"",ROUND(B40*$B$5/'ข้อมูลลูกค้า'!$C$15,2))</x:f>
      </x:c>
      <x:c r="E40" s="23" t="str">
        <x:f>IF(OR(NOT(ISNUMBER($B$5)),$B$5&lt;=0),"",ROUND(C40*$B$5/'ข้อมูลลูกค้า'!$C$15,2))</x:f>
      </x:c>
    </x:row>
    <x:row r="41" ht="25" customHeight="1">
      <x:c r="A41" s="22" t="n">
        <x:v>52</x:v>
      </x:c>
      <x:c r="B41" s="18" t="n">
        <x:v>557.9</x:v>
      </x:c>
      <x:c r="C41" s="18" t="n">
        <x:v>589.93</x:v>
      </x:c>
      <x:c r="D41" s="23" t="str">
        <x:f>IF(OR(NOT(ISNUMBER($B$5)),$B$5&lt;=0),"",ROUND(B41*$B$5/'ข้อมูลลูกค้า'!$C$15,2))</x:f>
      </x:c>
      <x:c r="E41" s="23" t="str">
        <x:f>IF(OR(NOT(ISNUMBER($B$5)),$B$5&lt;=0),"",ROUND(C41*$B$5/'ข้อมูลลูกค้า'!$C$15,2))</x:f>
      </x:c>
    </x:row>
    <x:row r="42" ht="25" customHeight="1">
      <x:c r="A42" s="24" t="n">
        <x:v>53</x:v>
      </x:c>
      <x:c r="B42" s="25" t="n">
        <x:v>581.22</x:v>
      </x:c>
      <x:c r="C42" s="25" t="n">
        <x:v>609.77</x:v>
      </x:c>
      <x:c r="D42" s="23" t="str">
        <x:f>IF(OR(NOT(ISNUMBER($B$5)),$B$5&lt;=0),"",ROUND(B42*$B$5/'ข้อมูลลูกค้า'!$C$15,2))</x:f>
      </x:c>
      <x:c r="E42" s="23" t="str">
        <x:f>IF(OR(NOT(ISNUMBER($B$5)),$B$5&lt;=0),"",ROUND(C42*$B$5/'ข้อมูลลูกค้า'!$C$15,2))</x:f>
      </x:c>
    </x:row>
    <x:row r="43" ht="25" customHeight="1">
      <x:c r="A43" s="22" t="n">
        <x:v>54</x:v>
      </x:c>
      <x:c r="B43" s="18" t="n">
        <x:v>606.04</x:v>
      </x:c>
      <x:c r="C43" s="18" t="n">
        <x:v>630.94</x:v>
      </x:c>
      <x:c r="D43" s="23" t="str">
        <x:f>IF(OR(NOT(ISNUMBER($B$5)),$B$5&lt;=0),"",ROUND(B43*$B$5/'ข้อมูลลูกค้า'!$C$15,2))</x:f>
      </x:c>
      <x:c r="E43" s="23" t="str">
        <x:f>IF(OR(NOT(ISNUMBER($B$5)),$B$5&lt;=0),"",ROUND(C43*$B$5/'ข้อมูลลูกค้า'!$C$15,2))</x:f>
      </x:c>
    </x:row>
    <x:row r="44" ht="25" customHeight="1">
      <x:c r="A44" s="24" t="n">
        <x:v>55</x:v>
      </x:c>
      <x:c r="B44" s="25" t="n">
        <x:v>633.4</x:v>
      </x:c>
      <x:c r="C44" s="25" t="n">
        <x:v>653.6</x:v>
      </x:c>
      <x:c r="D44" s="23" t="str">
        <x:f>IF(OR(NOT(ISNUMBER($B$5)),$B$5&lt;=0),"",ROUND(B44*$B$5/'ข้อมูลลูกค้า'!$C$15,2))</x:f>
      </x:c>
      <x:c r="E44" s="23" t="str">
        <x:f>IF(OR(NOT(ISNUMBER($B$5)),$B$5&lt;=0),"",ROUND(C44*$B$5/'ข้อมูลลูกค้า'!$C$15,2))</x:f>
      </x:c>
    </x:row>
    <x:row r="45" ht="25" customHeight="1">
      <x:c r="A45" s="2"/>
      <x:c r="B45" s="2"/>
      <x:c r="C45" s="2"/>
      <x:c r="D45" s="2"/>
      <x:c r="E45" s="2"/>
    </x:row>
    <x:row r="46" ht="25" customHeight="1">
      <x:c r="A46" s="2"/>
      <x:c r="B46" s="2"/>
      <x:c r="C46" s="2"/>
      <x:c r="D46" s="2"/>
      <x:c r="E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97AE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</x:cols>
  <x:sheetData>
    <x:row r="1" ht="24" customHeight="1">
      <x:c r="A1" s="48"/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24" customHeight="1">
      <x:c r="A2" s="53" t="str">
        <x:v>เฟล็กซี่ รีไทร์ 9055 (บำนาญแบบลดหย่อนได้)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 ht="24" customHeight="1">
      <x:c r="A3" s="48" t="str">
        <x:v>แหล่งข้อมูลอัตราเบี้ยรายปี: flexi2.pdf หน้า 1–4 แยกตามช่วงทุนประกัน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 ht="24" customHeight="1">
      <x:c r="A4" s="48" t="str">
        <x:v>อัตราต่อทุนประกัน 1,000 บาท อายุ 20–50 ปี ชำระเบี้ยถึงก่อนอายุ 55 ปี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</x:row>
    <x:row r="5" ht="24" customHeight="1">
      <x:c r="A5" s="48" t="str">
        <x:v>ทุนที่ใช้คำนวณ</x:v>
      </x:c>
      <x:c r="B5" s="37" t="str">
        <x:f>IF('ข้อมูลลูกค้า'!C8="","",'ข้อมูลลูกค้า'!C8)</x:f>
      </x:c>
      <x:c r="C5" s="48" t="str">
        <x:v>บาท (จากหน้าข้อมูลลูกค้า)</x:v>
      </x:c>
      <x:c r="D5" s="48"/>
      <x:c r="E5" s="48"/>
      <x:c r="F5" s="48"/>
      <x:c r="G5" s="48"/>
      <x:c r="H5" s="48"/>
      <x:c r="I5" s="48"/>
      <x:c r="J5" s="48"/>
      <x:c r="K5" s="48"/>
    </x:row>
    <x:row r="6" ht="24" customHeight="1">
      <x:c r="A6" s="48" t="str">
        <x:v>ทุนประกันในตารางเริ่มที่ 100,000 บาท อัตราแต่ละช่วงรวมอยู่ในตารางแล้ว</x:v>
      </x:c>
      <x:c r="B6" s="48"/>
      <x:c r="C6" s="48"/>
      <x:c r="D6" s="48"/>
      <x:c r="E6" s="48"/>
      <x:c r="F6" s="48"/>
      <x:c r="G6" s="48"/>
      <x:c r="H6" s="48"/>
      <x:c r="I6" s="48"/>
      <x:c r="J6" s="48"/>
      <x:c r="K6" s="48"/>
    </x:row>
    <x:row r="7" ht="27" customHeight="1">
      <x:c r="A7" s="57" t="str">
        <x:v>ช่วงทุน (บาท)</x:v>
      </x:c>
      <x:c r="B7" s="57" t="str">
        <x:v>100,000–299,999</x:v>
      </x:c>
      <x:c r="C7" s="57"/>
      <x:c r="D7" s="57" t="str">
        <x:v>300,000–499,999</x:v>
      </x:c>
      <x:c r="E7" s="57"/>
      <x:c r="F7" s="57" t="str">
        <x:v>500,000–999,999</x:v>
      </x:c>
      <x:c r="G7" s="57"/>
      <x:c r="H7" s="57" t="str">
        <x:v>ตั้งแต่ 1,000,000</x:v>
      </x:c>
      <x:c r="I7" s="57"/>
      <x:c r="J7" s="57" t="str">
        <x:v>เบี้ยรายปีตามทุนที่กรอก (บาท)</x:v>
      </x:c>
      <x:c r="K7" s="57"/>
    </x:row>
    <x:row r="8" ht="27" customHeight="1">
      <x:c r="A8" s="57" t="str">
        <x:v>อายุ (ปี)</x:v>
      </x:c>
      <x:c r="B8" s="57" t="str">
        <x:v>ชาย</x:v>
      </x:c>
      <x:c r="C8" s="57" t="str">
        <x:v>หญิง</x:v>
      </x:c>
      <x:c r="D8" s="57" t="str">
        <x:v>ชาย</x:v>
      </x:c>
      <x:c r="E8" s="57" t="str">
        <x:v>หญิง</x:v>
      </x:c>
      <x:c r="F8" s="57" t="str">
        <x:v>ชาย</x:v>
      </x:c>
      <x:c r="G8" s="57" t="str">
        <x:v>หญิง</x:v>
      </x:c>
      <x:c r="H8" s="57" t="str">
        <x:v>ชาย</x:v>
      </x:c>
      <x:c r="I8" s="57" t="str">
        <x:v>หญิง</x:v>
      </x:c>
      <x:c r="J8" s="57" t="str">
        <x:v>ชาย</x:v>
      </x:c>
      <x:c r="K8" s="57" t="str">
        <x:v>หญิง</x:v>
      </x:c>
    </x:row>
    <x:row r="9" ht="24" customHeight="1">
      <x:c r="A9" s="48" t="n">
        <x:v>20</x:v>
      </x:c>
      <x:c r="B9" s="37" t="n">
        <x:v>63.91</x:v>
      </x:c>
      <x:c r="C9" s="37" t="n">
        <x:v>71.14</x:v>
      </x:c>
      <x:c r="D9" s="37" t="n">
        <x:v>63.27</x:v>
      </x:c>
      <x:c r="E9" s="37" t="n">
        <x:v>70.43</x:v>
      </x:c>
      <x:c r="F9" s="37" t="n">
        <x:v>62.95</x:v>
      </x:c>
      <x:c r="G9" s="37" t="n">
        <x:v>70.07</x:v>
      </x:c>
      <x:c r="H9" s="37" t="n">
        <x:v>62.63</x:v>
      </x:c>
      <x:c r="I9" s="37" t="n">
        <x:v>69.72</x:v>
      </x:c>
      <x:c r="J9" s="58" t="str">
        <x:f>IF(OR(NOT(ISNUMBER($B$5)),$B$5&lt;100000),"",ROUND(INDEX(B9:I9,1,IF('ข้อมูลลูกค้า'!$C$8&lt;300000,1,IF('ข้อมูลลูกค้า'!$C$8&lt;500000,3,IF('ข้อมูลลูกค้า'!$C$8&lt;1000000,5,7)))+0)*$B$5/'ข้อมูลลูกค้า'!$C$15,2))</x:f>
      </x:c>
      <x:c r="K9" s="58" t="str">
        <x:f>IF(OR(NOT(ISNUMBER($B$5)),$B$5&lt;100000),"",ROUND(INDEX(B9:I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0" ht="24" customHeight="1">
      <x:c r="A10" s="59" t="n">
        <x:v>21</x:v>
      </x:c>
      <x:c r="B10" s="60" t="n">
        <x:v>66.76</x:v>
      </x:c>
      <x:c r="C10" s="60" t="n">
        <x:v>74.21</x:v>
      </x:c>
      <x:c r="D10" s="60" t="n">
        <x:v>66.09</x:v>
      </x:c>
      <x:c r="E10" s="60" t="n">
        <x:v>73.47</x:v>
      </x:c>
      <x:c r="F10" s="60" t="n">
        <x:v>65.76</x:v>
      </x:c>
      <x:c r="G10" s="60" t="n">
        <x:v>73.1</x:v>
      </x:c>
      <x:c r="H10" s="60" t="n">
        <x:v>65.42</x:v>
      </x:c>
      <x:c r="I10" s="60" t="n">
        <x:v>72.73</x:v>
      </x:c>
      <x:c r="J10" s="58" t="str">
        <x:f>IF(OR(NOT(ISNUMBER($B$5)),$B$5&lt;100000),"",ROUND(INDEX(B10:I10,1,IF('ข้อมูลลูกค้า'!$C$8&lt;300000,1,IF('ข้อมูลลูกค้า'!$C$8&lt;500000,3,IF('ข้อมูลลูกค้า'!$C$8&lt;1000000,5,7)))+0)*$B$5/'ข้อมูลลูกค้า'!$C$15,2))</x:f>
      </x:c>
      <x:c r="K10" s="58" t="str">
        <x:f>IF(OR(NOT(ISNUMBER($B$5)),$B$5&lt;100000),"",ROUND(INDEX(B10:I10,1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1" ht="24" customHeight="1">
      <x:c r="A11" s="48" t="n">
        <x:v>22</x:v>
      </x:c>
      <x:c r="B11" s="37" t="n">
        <x:v>69.8</x:v>
      </x:c>
      <x:c r="C11" s="37" t="n">
        <x:v>77.5</x:v>
      </x:c>
      <x:c r="D11" s="37" t="n">
        <x:v>69.1</x:v>
      </x:c>
      <x:c r="E11" s="37" t="n">
        <x:v>76.73</x:v>
      </x:c>
      <x:c r="F11" s="37" t="n">
        <x:v>68.75</x:v>
      </x:c>
      <x:c r="G11" s="37" t="n">
        <x:v>76.34</x:v>
      </x:c>
      <x:c r="H11" s="37" t="n">
        <x:v>68.4</x:v>
      </x:c>
      <x:c r="I11" s="37" t="n">
        <x:v>75.95</x:v>
      </x:c>
      <x:c r="J11" s="58" t="str">
        <x:f>IF(OR(NOT(ISNUMBER($B$5)),$B$5&lt;100000),"",ROUND(INDEX(B11:I11,1,IF('ข้อมูลลูกค้า'!$C$8&lt;300000,1,IF('ข้อมูลลูกค้า'!$C$8&lt;500000,3,IF('ข้อมูลลูกค้า'!$C$8&lt;1000000,5,7)))+0)*$B$5/'ข้อมูลลูกค้า'!$C$15,2))</x:f>
      </x:c>
      <x:c r="K11" s="58" t="str">
        <x:f>IF(OR(NOT(ISNUMBER($B$5)),$B$5&lt;100000),"",ROUND(INDEX(B11:I11,1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2" ht="24" customHeight="1">
      <x:c r="A12" s="59" t="n">
        <x:v>23</x:v>
      </x:c>
      <x:c r="B12" s="60" t="n">
        <x:v>73.04</x:v>
      </x:c>
      <x:c r="C12" s="60" t="n">
        <x:v>81</x:v>
      </x:c>
      <x:c r="D12" s="60" t="n">
        <x:v>72.31</x:v>
      </x:c>
      <x:c r="E12" s="60" t="n">
        <x:v>80.19</x:v>
      </x:c>
      <x:c r="F12" s="60" t="n">
        <x:v>71.94</x:v>
      </x:c>
      <x:c r="G12" s="60" t="n">
        <x:v>79.79</x:v>
      </x:c>
      <x:c r="H12" s="60" t="n">
        <x:v>71.58</x:v>
      </x:c>
      <x:c r="I12" s="60" t="n">
        <x:v>79.38</x:v>
      </x:c>
      <x:c r="J12" s="58" t="str">
        <x:f>IF(OR(NOT(ISNUMBER($B$5)),$B$5&lt;100000),"",ROUND(INDEX(B12:I12,1,IF('ข้อมูลลูกค้า'!$C$8&lt;300000,1,IF('ข้อมูลลูกค้า'!$C$8&lt;500000,3,IF('ข้อมูลลูกค้า'!$C$8&lt;1000000,5,7)))+0)*$B$5/'ข้อมูลลูกค้า'!$C$15,2))</x:f>
      </x:c>
      <x:c r="K12" s="58" t="str">
        <x:f>IF(OR(NOT(ISNUMBER($B$5)),$B$5&lt;100000),"",ROUND(INDEX(B12:I12,1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3" ht="24" customHeight="1">
      <x:c r="A13" s="48" t="n">
        <x:v>24</x:v>
      </x:c>
      <x:c r="B13" s="37" t="n">
        <x:v>76.51</x:v>
      </x:c>
      <x:c r="C13" s="37" t="n">
        <x:v>84.75</x:v>
      </x:c>
      <x:c r="D13" s="37" t="n">
        <x:v>75.74</x:v>
      </x:c>
      <x:c r="E13" s="37" t="n">
        <x:v>83.9</x:v>
      </x:c>
      <x:c r="F13" s="37" t="n">
        <x:v>75.36</x:v>
      </x:c>
      <x:c r="G13" s="37" t="n">
        <x:v>83.48</x:v>
      </x:c>
      <x:c r="H13" s="37" t="n">
        <x:v>74.98</x:v>
      </x:c>
      <x:c r="I13" s="37" t="n">
        <x:v>83.06</x:v>
      </x:c>
      <x:c r="J13" s="58" t="str">
        <x:f>IF(OR(NOT(ISNUMBER($B$5)),$B$5&lt;100000),"",ROUND(INDEX(B13:I13,1,IF('ข้อมูลลูกค้า'!$C$8&lt;300000,1,IF('ข้อมูลลูกค้า'!$C$8&lt;500000,3,IF('ข้อมูลลูกค้า'!$C$8&lt;1000000,5,7)))+0)*$B$5/'ข้อมูลลูกค้า'!$C$15,2))</x:f>
      </x:c>
      <x:c r="K13" s="58" t="str">
        <x:f>IF(OR(NOT(ISNUMBER($B$5)),$B$5&lt;100000),"",ROUND(INDEX(B13:I13,1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4" ht="24" customHeight="1">
      <x:c r="A14" s="59" t="n">
        <x:v>25</x:v>
      </x:c>
      <x:c r="B14" s="60" t="n">
        <x:v>80.26</x:v>
      </x:c>
      <x:c r="C14" s="60" t="n">
        <x:v>88.77</x:v>
      </x:c>
      <x:c r="D14" s="60" t="n">
        <x:v>79.46</x:v>
      </x:c>
      <x:c r="E14" s="60" t="n">
        <x:v>87.88</x:v>
      </x:c>
      <x:c r="F14" s="60" t="n">
        <x:v>79.06</x:v>
      </x:c>
      <x:c r="G14" s="60" t="n">
        <x:v>87.44</x:v>
      </x:c>
      <x:c r="H14" s="60" t="n">
        <x:v>78.65</x:v>
      </x:c>
      <x:c r="I14" s="60" t="n">
        <x:v>86.99</x:v>
      </x:c>
      <x:c r="J14" s="58" t="str">
        <x:f>IF(OR(NOT(ISNUMBER($B$5)),$B$5&lt;100000),"",ROUND(INDEX(B14:I14,1,IF('ข้อมูลลูกค้า'!$C$8&lt;300000,1,IF('ข้อมูลลูกค้า'!$C$8&lt;500000,3,IF('ข้อมูลลูกค้า'!$C$8&lt;1000000,5,7)))+0)*$B$5/'ข้อมูลลูกค้า'!$C$15,2))</x:f>
      </x:c>
      <x:c r="K14" s="58" t="str">
        <x:f>IF(OR(NOT(ISNUMBER($B$5)),$B$5&lt;100000),"",ROUND(INDEX(B14:I14,1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5" ht="24" customHeight="1">
      <x:c r="A15" s="48" t="n">
        <x:v>26</x:v>
      </x:c>
      <x:c r="B15" s="37" t="n">
        <x:v>84.27</x:v>
      </x:c>
      <x:c r="C15" s="37" t="n">
        <x:v>93.09</x:v>
      </x:c>
      <x:c r="D15" s="37" t="n">
        <x:v>83.43</x:v>
      </x:c>
      <x:c r="E15" s="37" t="n">
        <x:v>92.16</x:v>
      </x:c>
      <x:c r="F15" s="37" t="n">
        <x:v>83.01</x:v>
      </x:c>
      <x:c r="G15" s="37" t="n">
        <x:v>91.69</x:v>
      </x:c>
      <x:c r="H15" s="37" t="n">
        <x:v>82.58</x:v>
      </x:c>
      <x:c r="I15" s="37" t="n">
        <x:v>91.23</x:v>
      </x:c>
      <x:c r="J15" s="58" t="str">
        <x:f>IF(OR(NOT(ISNUMBER($B$5)),$B$5&lt;100000),"",ROUND(INDEX(B15:I15,1,IF('ข้อมูลลูกค้า'!$C$8&lt;300000,1,IF('ข้อมูลลูกค้า'!$C$8&lt;500000,3,IF('ข้อมูลลูกค้า'!$C$8&lt;1000000,5,7)))+0)*$B$5/'ข้อมูลลูกค้า'!$C$15,2))</x:f>
      </x:c>
      <x:c r="K15" s="58" t="str">
        <x:f>IF(OR(NOT(ISNUMBER($B$5)),$B$5&lt;100000),"",ROUND(INDEX(B15:I15,1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6" ht="24" customHeight="1">
      <x:c r="A16" s="59" t="n">
        <x:v>27</x:v>
      </x:c>
      <x:c r="B16" s="60" t="n">
        <x:v>88.6</x:v>
      </x:c>
      <x:c r="C16" s="60" t="n">
        <x:v>97.75</x:v>
      </x:c>
      <x:c r="D16" s="60" t="n">
        <x:v>87.71</x:v>
      </x:c>
      <x:c r="E16" s="60" t="n">
        <x:v>96.77</x:v>
      </x:c>
      <x:c r="F16" s="60" t="n">
        <x:v>87.27</x:v>
      </x:c>
      <x:c r="G16" s="60" t="n">
        <x:v>96.28</x:v>
      </x:c>
      <x:c r="H16" s="60" t="n">
        <x:v>86.83</x:v>
      </x:c>
      <x:c r="I16" s="60" t="n">
        <x:v>95.8</x:v>
      </x:c>
      <x:c r="J16" s="58" t="str">
        <x:f>IF(OR(NOT(ISNUMBER($B$5)),$B$5&lt;100000),"",ROUND(INDEX(B16:I16,1,IF('ข้อมูลลูกค้า'!$C$8&lt;300000,1,IF('ข้อมูลลูกค้า'!$C$8&lt;500000,3,IF('ข้อมูลลูกค้า'!$C$8&lt;1000000,5,7)))+0)*$B$5/'ข้อมูลลูกค้า'!$C$15,2))</x:f>
      </x:c>
      <x:c r="K16" s="58" t="str">
        <x:f>IF(OR(NOT(ISNUMBER($B$5)),$B$5&lt;100000),"",ROUND(INDEX(B16:I16,1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7" ht="24" customHeight="1">
      <x:c r="A17" s="48" t="n">
        <x:v>28</x:v>
      </x:c>
      <x:c r="B17" s="37" t="n">
        <x:v>93.28</x:v>
      </x:c>
      <x:c r="C17" s="37" t="n">
        <x:v>102.78</x:v>
      </x:c>
      <x:c r="D17" s="37" t="n">
        <x:v>92.35</x:v>
      </x:c>
      <x:c r="E17" s="37" t="n">
        <x:v>101.75</x:v>
      </x:c>
      <x:c r="F17" s="37" t="n">
        <x:v>91.88</x:v>
      </x:c>
      <x:c r="G17" s="37" t="n">
        <x:v>101.24</x:v>
      </x:c>
      <x:c r="H17" s="37" t="n">
        <x:v>91.41</x:v>
      </x:c>
      <x:c r="I17" s="37" t="n">
        <x:v>100.72</x:v>
      </x:c>
      <x:c r="J17" s="58" t="str">
        <x:f>IF(OR(NOT(ISNUMBER($B$5)),$B$5&lt;100000),"",ROUND(INDEX(B17:I17,1,IF('ข้อมูลลูกค้า'!$C$8&lt;300000,1,IF('ข้อมูลลูกค้า'!$C$8&lt;500000,3,IF('ข้อมูลลูกค้า'!$C$8&lt;1000000,5,7)))+0)*$B$5/'ข้อมูลลูกค้า'!$C$15,2))</x:f>
      </x:c>
      <x:c r="K17" s="58" t="str">
        <x:f>IF(OR(NOT(ISNUMBER($B$5)),$B$5&lt;100000),"",ROUND(INDEX(B17:I17,1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8" ht="24" customHeight="1">
      <x:c r="A18" s="59" t="n">
        <x:v>29</x:v>
      </x:c>
      <x:c r="B18" s="60" t="n">
        <x:v>98.37</x:v>
      </x:c>
      <x:c r="C18" s="60" t="n">
        <x:v>108.22</x:v>
      </x:c>
      <x:c r="D18" s="60" t="n">
        <x:v>97.39</x:v>
      </x:c>
      <x:c r="E18" s="60" t="n">
        <x:v>107.14</x:v>
      </x:c>
      <x:c r="F18" s="60" t="n">
        <x:v>96.89</x:v>
      </x:c>
      <x:c r="G18" s="60" t="n">
        <x:v>106.6</x:v>
      </x:c>
      <x:c r="H18" s="60" t="n">
        <x:v>96.4</x:v>
      </x:c>
      <x:c r="I18" s="60" t="n">
        <x:v>106.06</x:v>
      </x:c>
      <x:c r="J18" s="58" t="str">
        <x:f>IF(OR(NOT(ISNUMBER($B$5)),$B$5&lt;100000),"",ROUND(INDEX(B18:I18,1,IF('ข้อมูลลูกค้า'!$C$8&lt;300000,1,IF('ข้อมูลลูกค้า'!$C$8&lt;500000,3,IF('ข้อมูลลูกค้า'!$C$8&lt;1000000,5,7)))+0)*$B$5/'ข้อมูลลูกค้า'!$C$15,2))</x:f>
      </x:c>
      <x:c r="K18" s="58" t="str">
        <x:f>IF(OR(NOT(ISNUMBER($B$5)),$B$5&lt;100000),"",ROUND(INDEX(B18:I18,1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9" ht="24" customHeight="1">
      <x:c r="A19" s="48" t="n">
        <x:v>30</x:v>
      </x:c>
      <x:c r="B19" s="37" t="n">
        <x:v>103.91</x:v>
      </x:c>
      <x:c r="C19" s="37" t="n">
        <x:v>114.12</x:v>
      </x:c>
      <x:c r="D19" s="37" t="n">
        <x:v>102.87</x:v>
      </x:c>
      <x:c r="E19" s="37" t="n">
        <x:v>112.98</x:v>
      </x:c>
      <x:c r="F19" s="37" t="n">
        <x:v>102.35</x:v>
      </x:c>
      <x:c r="G19" s="37" t="n">
        <x:v>112.41</x:v>
      </x:c>
      <x:c r="H19" s="37" t="n">
        <x:v>101.83</x:v>
      </x:c>
      <x:c r="I19" s="37" t="n">
        <x:v>111.84</x:v>
      </x:c>
      <x:c r="J19" s="58" t="str">
        <x:f>IF(OR(NOT(ISNUMBER($B$5)),$B$5&lt;100000),"",ROUND(INDEX(B19:I19,1,IF('ข้อมูลลูกค้า'!$C$8&lt;300000,1,IF('ข้อมูลลูกค้า'!$C$8&lt;500000,3,IF('ข้อมูลลูกค้า'!$C$8&lt;1000000,5,7)))+0)*$B$5/'ข้อมูลลูกค้า'!$C$15,2))</x:f>
      </x:c>
      <x:c r="K19" s="58" t="str">
        <x:f>IF(OR(NOT(ISNUMBER($B$5)),$B$5&lt;100000),"",ROUND(INDEX(B19:I19,1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0" ht="24" customHeight="1">
      <x:c r="A20" s="59" t="n">
        <x:v>31</x:v>
      </x:c>
      <x:c r="B20" s="60" t="n">
        <x:v>109.93</x:v>
      </x:c>
      <x:c r="C20" s="60" t="n">
        <x:v>120.57</x:v>
      </x:c>
      <x:c r="D20" s="60" t="n">
        <x:v>108.83</x:v>
      </x:c>
      <x:c r="E20" s="60" t="n">
        <x:v>119.36</x:v>
      </x:c>
      <x:c r="F20" s="60" t="n">
        <x:v>108.28</x:v>
      </x:c>
      <x:c r="G20" s="60" t="n">
        <x:v>118.76</x:v>
      </x:c>
      <x:c r="H20" s="60" t="n">
        <x:v>107.73</x:v>
      </x:c>
      <x:c r="I20" s="60" t="n">
        <x:v>118.16</x:v>
      </x:c>
      <x:c r="J20" s="58" t="str">
        <x:f>IF(OR(NOT(ISNUMBER($B$5)),$B$5&lt;100000),"",ROUND(INDEX(B20:I20,1,IF('ข้อมูลลูกค้า'!$C$8&lt;300000,1,IF('ข้อมูลลูกค้า'!$C$8&lt;500000,3,IF('ข้อมูลลูกค้า'!$C$8&lt;1000000,5,7)))+0)*$B$5/'ข้อมูลลูกค้า'!$C$15,2))</x:f>
      </x:c>
      <x:c r="K20" s="58" t="str">
        <x:f>IF(OR(NOT(ISNUMBER($B$5)),$B$5&lt;100000),"",ROUND(INDEX(B20:I20,1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1" ht="24" customHeight="1">
      <x:c r="A21" s="48" t="n">
        <x:v>32</x:v>
      </x:c>
      <x:c r="B21" s="37" t="n">
        <x:v>116.53</x:v>
      </x:c>
      <x:c r="C21" s="37" t="n">
        <x:v>127.62</x:v>
      </x:c>
      <x:c r="D21" s="37" t="n">
        <x:v>115.36</x:v>
      </x:c>
      <x:c r="E21" s="37" t="n">
        <x:v>126.34</x:v>
      </x:c>
      <x:c r="F21" s="37" t="n">
        <x:v>114.78</x:v>
      </x:c>
      <x:c r="G21" s="37" t="n">
        <x:v>125.71</x:v>
      </x:c>
      <x:c r="H21" s="37" t="n">
        <x:v>114.2</x:v>
      </x:c>
      <x:c r="I21" s="37" t="n">
        <x:v>125.07</x:v>
      </x:c>
      <x:c r="J21" s="58" t="str">
        <x:f>IF(OR(NOT(ISNUMBER($B$5)),$B$5&lt;100000),"",ROUND(INDEX(B21:I21,1,IF('ข้อมูลลูกค้า'!$C$8&lt;300000,1,IF('ข้อมูลลูกค้า'!$C$8&lt;500000,3,IF('ข้อมูลลูกค้า'!$C$8&lt;1000000,5,7)))+0)*$B$5/'ข้อมูลลูกค้า'!$C$15,2))</x:f>
      </x:c>
      <x:c r="K21" s="58" t="str">
        <x:f>IF(OR(NOT(ISNUMBER($B$5)),$B$5&lt;100000),"",ROUND(INDEX(B21:I21,1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2" ht="24" customHeight="1">
      <x:c r="A22" s="59" t="n">
        <x:v>33</x:v>
      </x:c>
      <x:c r="B22" s="60" t="n">
        <x:v>123.8</x:v>
      </x:c>
      <x:c r="C22" s="60" t="n">
        <x:v>135.34</x:v>
      </x:c>
      <x:c r="D22" s="60" t="n">
        <x:v>122.56</x:v>
      </x:c>
      <x:c r="E22" s="60" t="n">
        <x:v>133.99</x:v>
      </x:c>
      <x:c r="F22" s="60" t="n">
        <x:v>121.94</x:v>
      </x:c>
      <x:c r="G22" s="60" t="n">
        <x:v>133.31</x:v>
      </x:c>
      <x:c r="H22" s="60" t="n">
        <x:v>121.32</x:v>
      </x:c>
      <x:c r="I22" s="60" t="n">
        <x:v>132.63</x:v>
      </x:c>
      <x:c r="J22" s="58" t="str">
        <x:f>IF(OR(NOT(ISNUMBER($B$5)),$B$5&lt;100000),"",ROUND(INDEX(B22:I22,1,IF('ข้อมูลลูกค้า'!$C$8&lt;300000,1,IF('ข้อมูลลูกค้า'!$C$8&lt;500000,3,IF('ข้อมูลลูกค้า'!$C$8&lt;1000000,5,7)))+0)*$B$5/'ข้อมูลลูกค้า'!$C$15,2))</x:f>
      </x:c>
      <x:c r="K22" s="58" t="str">
        <x:f>IF(OR(NOT(ISNUMBER($B$5)),$B$5&lt;100000),"",ROUND(INDEX(B22:I22,1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3" ht="24" customHeight="1">
      <x:c r="A23" s="48" t="n">
        <x:v>34</x:v>
      </x:c>
      <x:c r="B23" s="37" t="n">
        <x:v>131.81</x:v>
      </x:c>
      <x:c r="C23" s="37" t="n">
        <x:v>143.83</x:v>
      </x:c>
      <x:c r="D23" s="37" t="n">
        <x:v>130.49</x:v>
      </x:c>
      <x:c r="E23" s="37" t="n">
        <x:v>142.39</x:v>
      </x:c>
      <x:c r="F23" s="37" t="n">
        <x:v>129.83</x:v>
      </x:c>
      <x:c r="G23" s="37" t="n">
        <x:v>141.67</x:v>
      </x:c>
      <x:c r="H23" s="37" t="n">
        <x:v>129.17</x:v>
      </x:c>
      <x:c r="I23" s="37" t="n">
        <x:v>140.95</x:v>
      </x:c>
      <x:c r="J23" s="58" t="str">
        <x:f>IF(OR(NOT(ISNUMBER($B$5)),$B$5&lt;100000),"",ROUND(INDEX(B23:I23,1,IF('ข้อมูลลูกค้า'!$C$8&lt;300000,1,IF('ข้อมูลลูกค้า'!$C$8&lt;500000,3,IF('ข้อมูลลูกค้า'!$C$8&lt;1000000,5,7)))+0)*$B$5/'ข้อมูลลูกค้า'!$C$15,2))</x:f>
      </x:c>
      <x:c r="K23" s="58" t="str">
        <x:f>IF(OR(NOT(ISNUMBER($B$5)),$B$5&lt;100000),"",ROUND(INDEX(B23:I23,1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4" ht="24" customHeight="1">
      <x:c r="A24" s="59" t="n">
        <x:v>35</x:v>
      </x:c>
      <x:c r="B24" s="60" t="n">
        <x:v>140.68</x:v>
      </x:c>
      <x:c r="C24" s="60" t="n">
        <x:v>153.26</x:v>
      </x:c>
      <x:c r="D24" s="60" t="n">
        <x:v>139.27</x:v>
      </x:c>
      <x:c r="E24" s="60" t="n">
        <x:v>151.73</x:v>
      </x:c>
      <x:c r="F24" s="60" t="n">
        <x:v>138.57</x:v>
      </x:c>
      <x:c r="G24" s="60" t="n">
        <x:v>150.96</x:v>
      </x:c>
      <x:c r="H24" s="60" t="n">
        <x:v>137.87</x:v>
      </x:c>
      <x:c r="I24" s="60" t="n">
        <x:v>150.19</x:v>
      </x:c>
      <x:c r="J24" s="58" t="str">
        <x:f>IF(OR(NOT(ISNUMBER($B$5)),$B$5&lt;100000),"",ROUND(INDEX(B24:I24,1,IF('ข้อมูลลูกค้า'!$C$8&lt;300000,1,IF('ข้อมูลลูกค้า'!$C$8&lt;500000,3,IF('ข้อมูลลูกค้า'!$C$8&lt;1000000,5,7)))+0)*$B$5/'ข้อมูลลูกค้า'!$C$15,2))</x:f>
      </x:c>
      <x:c r="K24" s="58" t="str">
        <x:f>IF(OR(NOT(ISNUMBER($B$5)),$B$5&lt;100000),"",ROUND(INDEX(B24:I24,1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5" ht="24" customHeight="1">
      <x:c r="A25" s="48" t="n">
        <x:v>36</x:v>
      </x:c>
      <x:c r="B25" s="37" t="n">
        <x:v>150.54</x:v>
      </x:c>
      <x:c r="C25" s="37" t="n">
        <x:v>163.74</x:v>
      </x:c>
      <x:c r="D25" s="37" t="n">
        <x:v>149.03</x:v>
      </x:c>
      <x:c r="E25" s="37" t="n">
        <x:v>162.1</x:v>
      </x:c>
      <x:c r="F25" s="37" t="n">
        <x:v>148.28</x:v>
      </x:c>
      <x:c r="G25" s="37" t="n">
        <x:v>161.28</x:v>
      </x:c>
      <x:c r="H25" s="37" t="n">
        <x:v>147.53</x:v>
      </x:c>
      <x:c r="I25" s="37" t="n">
        <x:v>160.47</x:v>
      </x:c>
      <x:c r="J25" s="58" t="str">
        <x:f>IF(OR(NOT(ISNUMBER($B$5)),$B$5&lt;100000),"",ROUND(INDEX(B25:I25,1,IF('ข้อมูลลูกค้า'!$C$8&lt;300000,1,IF('ข้อมูลลูกค้า'!$C$8&lt;500000,3,IF('ข้อมูลลูกค้า'!$C$8&lt;1000000,5,7)))+0)*$B$5/'ข้อมูลลูกค้า'!$C$15,2))</x:f>
      </x:c>
      <x:c r="K25" s="58" t="str">
        <x:f>IF(OR(NOT(ISNUMBER($B$5)),$B$5&lt;100000),"",ROUND(INDEX(B25:I25,1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6" ht="24" customHeight="1">
      <x:c r="A26" s="59" t="n">
        <x:v>37</x:v>
      </x:c>
      <x:c r="B26" s="60" t="n">
        <x:v>161.64</x:v>
      </x:c>
      <x:c r="C26" s="60" t="n">
        <x:v>175.45</x:v>
      </x:c>
      <x:c r="D26" s="60" t="n">
        <x:v>160.02</x:v>
      </x:c>
      <x:c r="E26" s="60" t="n">
        <x:v>173.7</x:v>
      </x:c>
      <x:c r="F26" s="60" t="n">
        <x:v>159.22</x:v>
      </x:c>
      <x:c r="G26" s="60" t="n">
        <x:v>172.82</x:v>
      </x:c>
      <x:c r="H26" s="60" t="n">
        <x:v>158.41</x:v>
      </x:c>
      <x:c r="I26" s="60" t="n">
        <x:v>171.94</x:v>
      </x:c>
      <x:c r="J26" s="58" t="str">
        <x:f>IF(OR(NOT(ISNUMBER($B$5)),$B$5&lt;100000),"",ROUND(INDEX(B26:I26,1,IF('ข้อมูลลูกค้า'!$C$8&lt;300000,1,IF('ข้อมูลลูกค้า'!$C$8&lt;500000,3,IF('ข้อมูลลูกค้า'!$C$8&lt;1000000,5,7)))+0)*$B$5/'ข้อมูลลูกค้า'!$C$15,2))</x:f>
      </x:c>
      <x:c r="K26" s="58" t="str">
        <x:f>IF(OR(NOT(ISNUMBER($B$5)),$B$5&lt;100000),"",ROUND(INDEX(B26:I26,1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7" ht="24" customHeight="1">
      <x:c r="A27" s="48" t="n">
        <x:v>38</x:v>
      </x:c>
      <x:c r="B27" s="37" t="n">
        <x:v>174.12</x:v>
      </x:c>
      <x:c r="C27" s="37" t="n">
        <x:v>188.61</x:v>
      </x:c>
      <x:c r="D27" s="37" t="n">
        <x:v>172.38</x:v>
      </x:c>
      <x:c r="E27" s="37" t="n">
        <x:v>186.72</x:v>
      </x:c>
      <x:c r="F27" s="37" t="n">
        <x:v>171.51</x:v>
      </x:c>
      <x:c r="G27" s="37" t="n">
        <x:v>185.78</x:v>
      </x:c>
      <x:c r="H27" s="37" t="n">
        <x:v>170.64</x:v>
      </x:c>
      <x:c r="I27" s="37" t="n">
        <x:v>184.84</x:v>
      </x:c>
      <x:c r="J27" s="58" t="str">
        <x:f>IF(OR(NOT(ISNUMBER($B$5)),$B$5&lt;100000),"",ROUND(INDEX(B27:I27,1,IF('ข้อมูลลูกค้า'!$C$8&lt;300000,1,IF('ข้อมูลลูกค้า'!$C$8&lt;500000,3,IF('ข้อมูลลูกค้า'!$C$8&lt;1000000,5,7)))+0)*$B$5/'ข้อมูลลูกค้า'!$C$15,2))</x:f>
      </x:c>
      <x:c r="K27" s="58" t="str">
        <x:f>IF(OR(NOT(ISNUMBER($B$5)),$B$5&lt;100000),"",ROUND(INDEX(B27:I27,1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8" ht="24" customHeight="1">
      <x:c r="A28" s="59" t="n">
        <x:v>39</x:v>
      </x:c>
      <x:c r="B28" s="60" t="n">
        <x:v>188.25</x:v>
      </x:c>
      <x:c r="C28" s="60" t="n">
        <x:v>203.57</x:v>
      </x:c>
      <x:c r="D28" s="60" t="n">
        <x:v>186.37</x:v>
      </x:c>
      <x:c r="E28" s="60" t="n">
        <x:v>201.53</x:v>
      </x:c>
      <x:c r="F28" s="60" t="n">
        <x:v>185.43</x:v>
      </x:c>
      <x:c r="G28" s="60" t="n">
        <x:v>200.52</x:v>
      </x:c>
      <x:c r="H28" s="60" t="n">
        <x:v>184.49</x:v>
      </x:c>
      <x:c r="I28" s="60" t="n">
        <x:v>199.5</x:v>
      </x:c>
      <x:c r="J28" s="58" t="str">
        <x:f>IF(OR(NOT(ISNUMBER($B$5)),$B$5&lt;100000),"",ROUND(INDEX(B28:I28,1,IF('ข้อมูลลูกค้า'!$C$8&lt;300000,1,IF('ข้อมูลลูกค้า'!$C$8&lt;500000,3,IF('ข้อมูลลูกค้า'!$C$8&lt;1000000,5,7)))+0)*$B$5/'ข้อมูลลูกค้า'!$C$15,2))</x:f>
      </x:c>
      <x:c r="K28" s="58" t="str">
        <x:f>IF(OR(NOT(ISNUMBER($B$5)),$B$5&lt;100000),"",ROUND(INDEX(B28:I28,1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9" ht="24" customHeight="1">
      <x:c r="A29" s="48" t="n">
        <x:v>40</x:v>
      </x:c>
      <x:c r="B29" s="37" t="n">
        <x:v>204.46</x:v>
      </x:c>
      <x:c r="C29" s="37" t="n">
        <x:v>220.63</x:v>
      </x:c>
      <x:c r="D29" s="37" t="n">
        <x:v>202.42</x:v>
      </x:c>
      <x:c r="E29" s="37" t="n">
        <x:v>218.42</x:v>
      </x:c>
      <x:c r="F29" s="37" t="n">
        <x:v>201.39</x:v>
      </x:c>
      <x:c r="G29" s="37" t="n">
        <x:v>217.32</x:v>
      </x:c>
      <x:c r="H29" s="37" t="n">
        <x:v>200.37</x:v>
      </x:c>
      <x:c r="I29" s="37" t="n">
        <x:v>216.22</x:v>
      </x:c>
      <x:c r="J29" s="58" t="str">
        <x:f>IF(OR(NOT(ISNUMBER($B$5)),$B$5&lt;100000),"",ROUND(INDEX(B29:I29,1,IF('ข้อมูลลูกค้า'!$C$8&lt;300000,1,IF('ข้อมูลลูกค้า'!$C$8&lt;500000,3,IF('ข้อมูลลูกค้า'!$C$8&lt;1000000,5,7)))+0)*$B$5/'ข้อมูลลูกค้า'!$C$15,2))</x:f>
      </x:c>
      <x:c r="K29" s="58" t="str">
        <x:f>IF(OR(NOT(ISNUMBER($B$5)),$B$5&lt;100000),"",ROUND(INDEX(B29:I29,1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0" ht="24" customHeight="1">
      <x:c r="A30" s="59" t="n">
        <x:v>41</x:v>
      </x:c>
      <x:c r="B30" s="60" t="n">
        <x:v>223.18</x:v>
      </x:c>
      <x:c r="C30" s="60" t="n">
        <x:v>240.26</x:v>
      </x:c>
      <x:c r="D30" s="60" t="n">
        <x:v>220.95</x:v>
      </x:c>
      <x:c r="E30" s="60" t="n">
        <x:v>237.86</x:v>
      </x:c>
      <x:c r="F30" s="60" t="n">
        <x:v>219.83</x:v>
      </x:c>
      <x:c r="G30" s="60" t="n">
        <x:v>236.66</x:v>
      </x:c>
      <x:c r="H30" s="60" t="n">
        <x:v>218.72</x:v>
      </x:c>
      <x:c r="I30" s="60" t="n">
        <x:v>235.45</x:v>
      </x:c>
      <x:c r="J30" s="58" t="str">
        <x:f>IF(OR(NOT(ISNUMBER($B$5)),$B$5&lt;100000),"",ROUND(INDEX(B30:I30,1,IF('ข้อมูลลูกค้า'!$C$8&lt;300000,1,IF('ข้อมูลลูกค้า'!$C$8&lt;500000,3,IF('ข้อมูลลูกค้า'!$C$8&lt;1000000,5,7)))+0)*$B$5/'ข้อมูลลูกค้า'!$C$15,2))</x:f>
      </x:c>
      <x:c r="K30" s="58" t="str">
        <x:f>IF(OR(NOT(ISNUMBER($B$5)),$B$5&lt;100000),"",ROUND(INDEX(B30:I30,1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1" ht="24" customHeight="1">
      <x:c r="A31" s="48" t="n">
        <x:v>42</x:v>
      </x:c>
      <x:c r="B31" s="37" t="n">
        <x:v>244.96</x:v>
      </x:c>
      <x:c r="C31" s="37" t="n">
        <x:v>263.14</x:v>
      </x:c>
      <x:c r="D31" s="37" t="n">
        <x:v>242.51</x:v>
      </x:c>
      <x:c r="E31" s="37" t="n">
        <x:v>260.51</x:v>
      </x:c>
      <x:c r="F31" s="37" t="n">
        <x:v>241.29</x:v>
      </x:c>
      <x:c r="G31" s="37" t="n">
        <x:v>259.19</x:v>
      </x:c>
      <x:c r="H31" s="37" t="n">
        <x:v>240.06</x:v>
      </x:c>
      <x:c r="I31" s="37" t="n">
        <x:v>257.88</x:v>
      </x:c>
      <x:c r="J31" s="58" t="str">
        <x:f>IF(OR(NOT(ISNUMBER($B$5)),$B$5&lt;100000),"",ROUND(INDEX(B31:I31,1,IF('ข้อมูลลูกค้า'!$C$8&lt;300000,1,IF('ข้อมูลลูกค้า'!$C$8&lt;500000,3,IF('ข้อมูลลูกค้า'!$C$8&lt;1000000,5,7)))+0)*$B$5/'ข้อมูลลูกค้า'!$C$15,2))</x:f>
      </x:c>
      <x:c r="K31" s="58" t="str">
        <x:f>IF(OR(NOT(ISNUMBER($B$5)),$B$5&lt;100000),"",ROUND(INDEX(B31:I31,1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2" ht="24" customHeight="1">
      <x:c r="A32" s="59" t="n">
        <x:v>43</x:v>
      </x:c>
      <x:c r="B32" s="60" t="n">
        <x:v>270.72</x:v>
      </x:c>
      <x:c r="C32" s="60" t="n">
        <x:v>290.11</x:v>
      </x:c>
      <x:c r="D32" s="60" t="n">
        <x:v>268.01</x:v>
      </x:c>
      <x:c r="E32" s="60" t="n">
        <x:v>287.21</x:v>
      </x:c>
      <x:c r="F32" s="60" t="n">
        <x:v>266.66</x:v>
      </x:c>
      <x:c r="G32" s="60" t="n">
        <x:v>285.76</x:v>
      </x:c>
      <x:c r="H32" s="60" t="n">
        <x:v>265.31</x:v>
      </x:c>
      <x:c r="I32" s="60" t="n">
        <x:v>284.31</x:v>
      </x:c>
      <x:c r="J32" s="58" t="str">
        <x:f>IF(OR(NOT(ISNUMBER($B$5)),$B$5&lt;100000),"",ROUND(INDEX(B32:I32,1,IF('ข้อมูลลูกค้า'!$C$8&lt;300000,1,IF('ข้อมูลลูกค้า'!$C$8&lt;500000,3,IF('ข้อมูลลูกค้า'!$C$8&lt;1000000,5,7)))+0)*$B$5/'ข้อมูลลูกค้า'!$C$15,2))</x:f>
      </x:c>
      <x:c r="K32" s="58" t="str">
        <x:f>IF(OR(NOT(ISNUMBER($B$5)),$B$5&lt;100000),"",ROUND(INDEX(B32:I32,1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3" ht="24" customHeight="1">
      <x:c r="A33" s="48" t="n">
        <x:v>44</x:v>
      </x:c>
      <x:c r="B33" s="37" t="n">
        <x:v>301.59</x:v>
      </x:c>
      <x:c r="C33" s="37" t="n">
        <x:v>322.27</x:v>
      </x:c>
      <x:c r="D33" s="37" t="n">
        <x:v>298.57</x:v>
      </x:c>
      <x:c r="E33" s="37" t="n">
        <x:v>319.05</x:v>
      </x:c>
      <x:c r="F33" s="37" t="n">
        <x:v>297.07</x:v>
      </x:c>
      <x:c r="G33" s="37" t="n">
        <x:v>317.44</x:v>
      </x:c>
      <x:c r="H33" s="37" t="n">
        <x:v>295.56</x:v>
      </x:c>
      <x:c r="I33" s="37" t="n">
        <x:v>315.82</x:v>
      </x:c>
      <x:c r="J33" s="58" t="str">
        <x:f>IF(OR(NOT(ISNUMBER($B$5)),$B$5&lt;100000),"",ROUND(INDEX(B33:I33,1,IF('ข้อมูลลูกค้า'!$C$8&lt;300000,1,IF('ข้อมูลลูกค้า'!$C$8&lt;500000,3,IF('ข้อมูลลูกค้า'!$C$8&lt;1000000,5,7)))+0)*$B$5/'ข้อมูลลูกค้า'!$C$15,2))</x:f>
      </x:c>
      <x:c r="K33" s="58" t="str">
        <x:f>IF(OR(NOT(ISNUMBER($B$5)),$B$5&lt;100000),"",ROUND(INDEX(B33:I33,1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4" ht="24" customHeight="1">
      <x:c r="A34" s="59" t="n">
        <x:v>45</x:v>
      </x:c>
      <x:c r="B34" s="60" t="n">
        <x:v>339.08</x:v>
      </x:c>
      <x:c r="C34" s="60" t="n">
        <x:v>361.39</x:v>
      </x:c>
      <x:c r="D34" s="60" t="n">
        <x:v>335.69</x:v>
      </x:c>
      <x:c r="E34" s="60" t="n">
        <x:v>357.78</x:v>
      </x:c>
      <x:c r="F34" s="60" t="n">
        <x:v>333.99</x:v>
      </x:c>
      <x:c r="G34" s="60" t="n">
        <x:v>355.97</x:v>
      </x:c>
      <x:c r="H34" s="60" t="n">
        <x:v>332.3</x:v>
      </x:c>
      <x:c r="I34" s="60" t="n">
        <x:v>354.16</x:v>
      </x:c>
      <x:c r="J34" s="58" t="str">
        <x:f>IF(OR(NOT(ISNUMBER($B$5)),$B$5&lt;100000),"",ROUND(INDEX(B34:I34,1,IF('ข้อมูลลูกค้า'!$C$8&lt;300000,1,IF('ข้อมูลลูกค้า'!$C$8&lt;500000,3,IF('ข้อมูลลูกค้า'!$C$8&lt;1000000,5,7)))+0)*$B$5/'ข้อมูลลูกค้า'!$C$15,2))</x:f>
      </x:c>
      <x:c r="K34" s="58" t="str">
        <x:f>IF(OR(NOT(ISNUMBER($B$5)),$B$5&lt;100000),"",ROUND(INDEX(B34:I34,1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5" ht="24" customHeight="1">
      <x:c r="A35" s="48" t="n">
        <x:v>46</x:v>
      </x:c>
      <x:c r="B35" s="37" t="n">
        <x:v>385.95</x:v>
      </x:c>
      <x:c r="C35" s="37" t="n">
        <x:v>409.9</x:v>
      </x:c>
      <x:c r="D35" s="37" t="n">
        <x:v>382.09</x:v>
      </x:c>
      <x:c r="E35" s="37" t="n">
        <x:v>405.8</x:v>
      </x:c>
      <x:c r="F35" s="37" t="n">
        <x:v>380.16</x:v>
      </x:c>
      <x:c r="G35" s="37" t="n">
        <x:v>403.75</x:v>
      </x:c>
      <x:c r="H35" s="37" t="n">
        <x:v>378.23</x:v>
      </x:c>
      <x:c r="I35" s="37" t="n">
        <x:v>401.7</x:v>
      </x:c>
      <x:c r="J35" s="58" t="str">
        <x:f>IF(OR(NOT(ISNUMBER($B$5)),$B$5&lt;100000),"",ROUND(INDEX(B35:I35,1,IF('ข้อมูลลูกค้า'!$C$8&lt;300000,1,IF('ข้อมูลลูกค้า'!$C$8&lt;500000,3,IF('ข้อมูลลูกค้า'!$C$8&lt;1000000,5,7)))+0)*$B$5/'ข้อมูลลูกค้า'!$C$15,2))</x:f>
      </x:c>
      <x:c r="K35" s="58" t="str">
        <x:f>IF(OR(NOT(ISNUMBER($B$5)),$B$5&lt;100000),"",ROUND(INDEX(B35:I35,1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6" ht="24" customHeight="1">
      <x:c r="A36" s="59" t="n">
        <x:v>47</x:v>
      </x:c>
      <x:c r="B36" s="60" t="n">
        <x:v>445.58</x:v>
      </x:c>
      <x:c r="C36" s="60" t="n">
        <x:v>471.44</x:v>
      </x:c>
      <x:c r="D36" s="60" t="n">
        <x:v>441.12</x:v>
      </x:c>
      <x:c r="E36" s="60" t="n">
        <x:v>466.73</x:v>
      </x:c>
      <x:c r="F36" s="60" t="n">
        <x:v>438.9</x:v>
      </x:c>
      <x:c r="G36" s="60" t="n">
        <x:v>464.37</x:v>
      </x:c>
      <x:c r="H36" s="60" t="n">
        <x:v>436.67</x:v>
      </x:c>
      <x:c r="I36" s="60" t="n">
        <x:v>462.01</x:v>
      </x:c>
      <x:c r="J36" s="58" t="str">
        <x:f>IF(OR(NOT(ISNUMBER($B$5)),$B$5&lt;100000),"",ROUND(INDEX(B36:I36,1,IF('ข้อมูลลูกค้า'!$C$8&lt;300000,1,IF('ข้อมูลลูกค้า'!$C$8&lt;500000,3,IF('ข้อมูลลูกค้า'!$C$8&lt;1000000,5,7)))+0)*$B$5/'ข้อมูลลูกค้า'!$C$15,2))</x:f>
      </x:c>
      <x:c r="K36" s="58" t="str">
        <x:f>IF(OR(NOT(ISNUMBER($B$5)),$B$5&lt;100000),"",ROUND(INDEX(B36:I36,1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7" ht="24" customHeight="1">
      <x:c r="A37" s="48" t="n">
        <x:v>48</x:v>
      </x:c>
      <x:c r="B37" s="37" t="n">
        <x:v>524.63</x:v>
      </x:c>
      <x:c r="C37" s="37" t="n">
        <x:v>552.5</x:v>
      </x:c>
      <x:c r="D37" s="37" t="n">
        <x:v>519.38</x:v>
      </x:c>
      <x:c r="E37" s="37" t="n">
        <x:v>546.98</x:v>
      </x:c>
      <x:c r="F37" s="37" t="n">
        <x:v>516.76</x:v>
      </x:c>
      <x:c r="G37" s="37" t="n">
        <x:v>544.21</x:v>
      </x:c>
      <x:c r="H37" s="37" t="n">
        <x:v>514.14</x:v>
      </x:c>
      <x:c r="I37" s="37" t="n">
        <x:v>541.45</x:v>
      </x:c>
      <x:c r="J37" s="58" t="str">
        <x:f>IF(OR(NOT(ISNUMBER($B$5)),$B$5&lt;100000),"",ROUND(INDEX(B37:I37,1,IF('ข้อมูลลูกค้า'!$C$8&lt;300000,1,IF('ข้อมูลลูกค้า'!$C$8&lt;500000,3,IF('ข้อมูลลูกค้า'!$C$8&lt;1000000,5,7)))+0)*$B$5/'ข้อมูลลูกค้า'!$C$15,2))</x:f>
      </x:c>
      <x:c r="K37" s="58" t="str">
        <x:f>IF(OR(NOT(ISNUMBER($B$5)),$B$5&lt;100000),"",ROUND(INDEX(B37:I37,1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8" ht="24" customHeight="1">
      <x:c r="A38" s="59" t="n">
        <x:v>49</x:v>
      </x:c>
      <x:c r="B38" s="60" t="n">
        <x:v>633.46</x:v>
      </x:c>
      <x:c r="C38" s="60" t="n">
        <x:v>663.32</x:v>
      </x:c>
      <x:c r="D38" s="60" t="n">
        <x:v>627.13</x:v>
      </x:c>
      <x:c r="E38" s="60" t="n">
        <x:v>656.69</x:v>
      </x:c>
      <x:c r="F38" s="60" t="n">
        <x:v>623.96</x:v>
      </x:c>
      <x:c r="G38" s="60" t="n">
        <x:v>653.37</x:v>
      </x:c>
      <x:c r="H38" s="60" t="n">
        <x:v>620.79</x:v>
      </x:c>
      <x:c r="I38" s="60" t="n">
        <x:v>650.05</x:v>
      </x:c>
      <x:c r="J38" s="58" t="str">
        <x:f>IF(OR(NOT(ISNUMBER($B$5)),$B$5&lt;100000),"",ROUND(INDEX(B38:I38,1,IF('ข้อมูลลูกค้า'!$C$8&lt;300000,1,IF('ข้อมูลลูกค้า'!$C$8&lt;500000,3,IF('ข้อมูลลูกค้า'!$C$8&lt;1000000,5,7)))+0)*$B$5/'ข้อมูลลูกค้า'!$C$15,2))</x:f>
      </x:c>
      <x:c r="K38" s="58" t="str">
        <x:f>IF(OR(NOT(ISNUMBER($B$5)),$B$5&lt;100000),"",ROUND(INDEX(B38:I38,1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9" ht="24" customHeight="1">
      <x:c r="A39" s="48" t="n">
        <x:v>50</x:v>
      </x:c>
      <x:c r="B39" s="37" t="n">
        <x:v>793.75</x:v>
      </x:c>
      <x:c r="C39" s="37" t="n">
        <x:v>824.93</x:v>
      </x:c>
      <x:c r="D39" s="37" t="n">
        <x:v>785.81</x:v>
      </x:c>
      <x:c r="E39" s="37" t="n">
        <x:v>816.68</x:v>
      </x:c>
      <x:c r="F39" s="37" t="n">
        <x:v>781.84</x:v>
      </x:c>
      <x:c r="G39" s="37" t="n">
        <x:v>812.56</x:v>
      </x:c>
      <x:c r="H39" s="37" t="n">
        <x:v>777.88</x:v>
      </x:c>
      <x:c r="I39" s="37" t="n">
        <x:v>808.43</x:v>
      </x:c>
      <x:c r="J39" s="58" t="str">
        <x:f>IF(OR(NOT(ISNUMBER($B$5)),$B$5&lt;100000),"",ROUND(INDEX(B39:I39,1,IF('ข้อมูลลูกค้า'!$C$8&lt;300000,1,IF('ข้อมูลลูกค้า'!$C$8&lt;500000,3,IF('ข้อมูลลูกค้า'!$C$8&lt;1000000,5,7)))+0)*$B$5/'ข้อมูลลูกค้า'!$C$15,2))</x:f>
      </x:c>
      <x:c r="K39" s="58" t="str">
        <x:f>IF(OR(NOT(ISNUMBER($B$5)),$B$5&lt;100000),"",ROUND(INDEX(B39:I39,1,IF('ข้อมูลลูกค้า'!$C$8&lt;300000,1,IF('ข้อมูลลูกค้า'!$C$8&lt;500000,3,IF('ข้อมูลลูกค้า'!$C$8&lt;1000000,5,7)))+1)*$B$5/'ข้อมูลลูกค้า'!$C$15,2))</x:f>
      </x:c>
    </x:row>
  </x:sheetData>
  <x:mergeCells>
    <x:mergeCell ref="B7:C7"/>
    <x:mergeCell ref="D7:E7"/>
    <x:mergeCell ref="F7:G7"/>
    <x:mergeCell ref="H7:I7"/>
    <x:mergeCell ref="J7:K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97AE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</x:cols>
  <x:sheetData>
    <x:row r="1" ht="24" customHeight="1">
      <x:c r="A1" s="48"/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24" customHeight="1">
      <x:c r="A2" s="53" t="str">
        <x:v>เฟล็กซี่ รีไทร์ 9060 (บำนาญแบบลดหย่อนได้)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 ht="24" customHeight="1">
      <x:c r="A3" s="48" t="str">
        <x:v>แหล่งข้อมูลอัตราเบี้ยรายปี: flexi2.pdf หน้า 1–4 แยกตามช่วงทุนประกัน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 ht="24" customHeight="1">
      <x:c r="A4" s="48" t="str">
        <x:v>อัตราต่อทุนประกัน 1,000 บาท อายุ 20–55 ปี ชำระเบี้ยถึงก่อนอายุ 60 ปี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</x:row>
    <x:row r="5" ht="24" customHeight="1">
      <x:c r="A5" s="48" t="str">
        <x:v>ทุนที่ใช้คำนวณ</x:v>
      </x:c>
      <x:c r="B5" s="37" t="str">
        <x:f>IF('ข้อมูลลูกค้า'!C8="","",'ข้อมูลลูกค้า'!C8)</x:f>
      </x:c>
      <x:c r="C5" s="48" t="str">
        <x:v>บาท (จากหน้าข้อมูลลูกค้า)</x:v>
      </x:c>
      <x:c r="D5" s="48"/>
      <x:c r="E5" s="48"/>
      <x:c r="F5" s="48"/>
      <x:c r="G5" s="48"/>
      <x:c r="H5" s="48"/>
      <x:c r="I5" s="48"/>
      <x:c r="J5" s="48"/>
      <x:c r="K5" s="48"/>
    </x:row>
    <x:row r="6" ht="24" customHeight="1">
      <x:c r="A6" s="48" t="str">
        <x:v>ทุนประกันในตารางเริ่มที่ 100,000 บาท อัตราแต่ละช่วงรวมอยู่ในตารางแล้ว</x:v>
      </x:c>
      <x:c r="B6" s="48"/>
      <x:c r="C6" s="48"/>
      <x:c r="D6" s="48"/>
      <x:c r="E6" s="48"/>
      <x:c r="F6" s="48"/>
      <x:c r="G6" s="48"/>
      <x:c r="H6" s="48"/>
      <x:c r="I6" s="48"/>
      <x:c r="J6" s="48"/>
      <x:c r="K6" s="48"/>
    </x:row>
    <x:row r="7" ht="27" customHeight="1">
      <x:c r="A7" s="57" t="str">
        <x:v>ช่วงทุน (บาท)</x:v>
      </x:c>
      <x:c r="B7" s="57" t="str">
        <x:v>100,000–299,999</x:v>
      </x:c>
      <x:c r="C7" s="57"/>
      <x:c r="D7" s="57" t="str">
        <x:v>300,000–499,999</x:v>
      </x:c>
      <x:c r="E7" s="57"/>
      <x:c r="F7" s="57" t="str">
        <x:v>500,000–999,999</x:v>
      </x:c>
      <x:c r="G7" s="57"/>
      <x:c r="H7" s="57" t="str">
        <x:v>ตั้งแต่ 1,000,000</x:v>
      </x:c>
      <x:c r="I7" s="57"/>
      <x:c r="J7" s="57" t="str">
        <x:v>เบี้ยรายปีตามทุนที่กรอก (บาท)</x:v>
      </x:c>
      <x:c r="K7" s="57"/>
    </x:row>
    <x:row r="8" ht="27" customHeight="1">
      <x:c r="A8" s="57" t="str">
        <x:v>อายุ (ปี)</x:v>
      </x:c>
      <x:c r="B8" s="57" t="str">
        <x:v>ชาย</x:v>
      </x:c>
      <x:c r="C8" s="57" t="str">
        <x:v>หญิง</x:v>
      </x:c>
      <x:c r="D8" s="57" t="str">
        <x:v>ชาย</x:v>
      </x:c>
      <x:c r="E8" s="57" t="str">
        <x:v>หญิง</x:v>
      </x:c>
      <x:c r="F8" s="57" t="str">
        <x:v>ชาย</x:v>
      </x:c>
      <x:c r="G8" s="57" t="str">
        <x:v>หญิง</x:v>
      </x:c>
      <x:c r="H8" s="57" t="str">
        <x:v>ชาย</x:v>
      </x:c>
      <x:c r="I8" s="57" t="str">
        <x:v>หญิง</x:v>
      </x:c>
      <x:c r="J8" s="57" t="str">
        <x:v>ชาย</x:v>
      </x:c>
      <x:c r="K8" s="57" t="str">
        <x:v>หญิง</x:v>
      </x:c>
    </x:row>
    <x:row r="9" ht="24" customHeight="1">
      <x:c r="A9" s="48" t="n">
        <x:v>20</x:v>
      </x:c>
      <x:c r="B9" s="37" t="n">
        <x:v>47.56</x:v>
      </x:c>
      <x:c r="C9" s="37" t="n">
        <x:v>53.83</x:v>
      </x:c>
      <x:c r="D9" s="37" t="n">
        <x:v>47.08</x:v>
      </x:c>
      <x:c r="E9" s="37" t="n">
        <x:v>53.29</x:v>
      </x:c>
      <x:c r="F9" s="37" t="n">
        <x:v>46.85</x:v>
      </x:c>
      <x:c r="G9" s="37" t="n">
        <x:v>53.02</x:v>
      </x:c>
      <x:c r="H9" s="37" t="n">
        <x:v>46.61</x:v>
      </x:c>
      <x:c r="I9" s="37" t="n">
        <x:v>52.75</x:v>
      </x:c>
      <x:c r="J9" s="58" t="str">
        <x:f>IF(OR(NOT(ISNUMBER($B$5)),$B$5&lt;100000),"",ROUND(INDEX(B9:I9,1,IF('ข้อมูลลูกค้า'!$C$8&lt;300000,1,IF('ข้อมูลลูกค้า'!$C$8&lt;500000,3,IF('ข้อมูลลูกค้า'!$C$8&lt;1000000,5,7)))+0)*$B$5/'ข้อมูลลูกค้า'!$C$15,2))</x:f>
      </x:c>
      <x:c r="K9" s="58" t="str">
        <x:f>IF(OR(NOT(ISNUMBER($B$5)),$B$5&lt;100000),"",ROUND(INDEX(B9:I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0" ht="24" customHeight="1">
      <x:c r="A10" s="59" t="n">
        <x:v>21</x:v>
      </x:c>
      <x:c r="B10" s="60" t="n">
        <x:v>49.53</x:v>
      </x:c>
      <x:c r="C10" s="60" t="n">
        <x:v>55.98</x:v>
      </x:c>
      <x:c r="D10" s="60" t="n">
        <x:v>49.03</x:v>
      </x:c>
      <x:c r="E10" s="60" t="n">
        <x:v>55.42</x:v>
      </x:c>
      <x:c r="F10" s="60" t="n">
        <x:v>48.79</x:v>
      </x:c>
      <x:c r="G10" s="60" t="n">
        <x:v>55.14</x:v>
      </x:c>
      <x:c r="H10" s="60" t="n">
        <x:v>48.54</x:v>
      </x:c>
      <x:c r="I10" s="60" t="n">
        <x:v>54.86</x:v>
      </x:c>
      <x:c r="J10" s="58" t="str">
        <x:f>IF(OR(NOT(ISNUMBER($B$5)),$B$5&lt;100000),"",ROUND(INDEX(B10:I10,1,IF('ข้อมูลลูกค้า'!$C$8&lt;300000,1,IF('ข้อมูลลูกค้า'!$C$8&lt;500000,3,IF('ข้อมูลลูกค้า'!$C$8&lt;1000000,5,7)))+0)*$B$5/'ข้อมูลลูกค้า'!$C$15,2))</x:f>
      </x:c>
      <x:c r="K10" s="58" t="str">
        <x:f>IF(OR(NOT(ISNUMBER($B$5)),$B$5&lt;100000),"",ROUND(INDEX(B10:I10,1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1" ht="24" customHeight="1">
      <x:c r="A11" s="48" t="n">
        <x:v>22</x:v>
      </x:c>
      <x:c r="B11" s="37" t="n">
        <x:v>51.63</x:v>
      </x:c>
      <x:c r="C11" s="37" t="n">
        <x:v>58.25</x:v>
      </x:c>
      <x:c r="D11" s="37" t="n">
        <x:v>51.11</x:v>
      </x:c>
      <x:c r="E11" s="37" t="n">
        <x:v>57.67</x:v>
      </x:c>
      <x:c r="F11" s="37" t="n">
        <x:v>50.86</x:v>
      </x:c>
      <x:c r="G11" s="37" t="n">
        <x:v>57.38</x:v>
      </x:c>
      <x:c r="H11" s="37" t="n">
        <x:v>50.6</x:v>
      </x:c>
      <x:c r="I11" s="37" t="n">
        <x:v>57.09</x:v>
      </x:c>
      <x:c r="J11" s="58" t="str">
        <x:f>IF(OR(NOT(ISNUMBER($B$5)),$B$5&lt;100000),"",ROUND(INDEX(B11:I11,1,IF('ข้อมูลลูกค้า'!$C$8&lt;300000,1,IF('ข้อมูลลูกค้า'!$C$8&lt;500000,3,IF('ข้อมูลลูกค้า'!$C$8&lt;1000000,5,7)))+0)*$B$5/'ข้อมูลลูกค้า'!$C$15,2))</x:f>
      </x:c>
      <x:c r="K11" s="58" t="str">
        <x:f>IF(OR(NOT(ISNUMBER($B$5)),$B$5&lt;100000),"",ROUND(INDEX(B11:I11,1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2" ht="24" customHeight="1">
      <x:c r="A12" s="59" t="n">
        <x:v>23</x:v>
      </x:c>
      <x:c r="B12" s="60" t="n">
        <x:v>53.86</x:v>
      </x:c>
      <x:c r="C12" s="60" t="n">
        <x:v>60.66</x:v>
      </x:c>
      <x:c r="D12" s="60" t="n">
        <x:v>53.32</x:v>
      </x:c>
      <x:c r="E12" s="60" t="n">
        <x:v>60.05</x:v>
      </x:c>
      <x:c r="F12" s="60" t="n">
        <x:v>53.05</x:v>
      </x:c>
      <x:c r="G12" s="60" t="n">
        <x:v>59.75</x:v>
      </x:c>
      <x:c r="H12" s="60" t="n">
        <x:v>52.78</x:v>
      </x:c>
      <x:c r="I12" s="60" t="n">
        <x:v>59.45</x:v>
      </x:c>
      <x:c r="J12" s="58" t="str">
        <x:f>IF(OR(NOT(ISNUMBER($B$5)),$B$5&lt;100000),"",ROUND(INDEX(B12:I12,1,IF('ข้อมูลลูกค้า'!$C$8&lt;300000,1,IF('ข้อมูลลูกค้า'!$C$8&lt;500000,3,IF('ข้อมูลลูกค้า'!$C$8&lt;1000000,5,7)))+0)*$B$5/'ข้อมูลลูกค้า'!$C$15,2))</x:f>
      </x:c>
      <x:c r="K12" s="58" t="str">
        <x:f>IF(OR(NOT(ISNUMBER($B$5)),$B$5&lt;100000),"",ROUND(INDEX(B12:I12,1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3" ht="24" customHeight="1">
      <x:c r="A13" s="48" t="n">
        <x:v>24</x:v>
      </x:c>
      <x:c r="B13" s="37" t="n">
        <x:v>56.22</x:v>
      </x:c>
      <x:c r="C13" s="37" t="n">
        <x:v>63.23</x:v>
      </x:c>
      <x:c r="D13" s="37" t="n">
        <x:v>55.66</x:v>
      </x:c>
      <x:c r="E13" s="37" t="n">
        <x:v>62.6</x:v>
      </x:c>
      <x:c r="F13" s="37" t="n">
        <x:v>55.38</x:v>
      </x:c>
      <x:c r="G13" s="37" t="n">
        <x:v>62.28</x:v>
      </x:c>
      <x:c r="H13" s="37" t="n">
        <x:v>55.1</x:v>
      </x:c>
      <x:c r="I13" s="37" t="n">
        <x:v>61.97</x:v>
      </x:c>
      <x:c r="J13" s="58" t="str">
        <x:f>IF(OR(NOT(ISNUMBER($B$5)),$B$5&lt;100000),"",ROUND(INDEX(B13:I13,1,IF('ข้อมูลลูกค้า'!$C$8&lt;300000,1,IF('ข้อมูลลูกค้า'!$C$8&lt;500000,3,IF('ข้อมูลลูกค้า'!$C$8&lt;1000000,5,7)))+0)*$B$5/'ข้อมูลลูกค้า'!$C$15,2))</x:f>
      </x:c>
      <x:c r="K13" s="58" t="str">
        <x:f>IF(OR(NOT(ISNUMBER($B$5)),$B$5&lt;100000),"",ROUND(INDEX(B13:I13,1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4" ht="24" customHeight="1">
      <x:c r="A14" s="59" t="n">
        <x:v>25</x:v>
      </x:c>
      <x:c r="B14" s="60" t="n">
        <x:v>58.74</x:v>
      </x:c>
      <x:c r="C14" s="60" t="n">
        <x:v>65.96</x:v>
      </x:c>
      <x:c r="D14" s="60" t="n">
        <x:v>58.15</x:v>
      </x:c>
      <x:c r="E14" s="60" t="n">
        <x:v>65.3</x:v>
      </x:c>
      <x:c r="F14" s="60" t="n">
        <x:v>57.86</x:v>
      </x:c>
      <x:c r="G14" s="60" t="n">
        <x:v>64.97</x:v>
      </x:c>
      <x:c r="H14" s="60" t="n">
        <x:v>57.57</x:v>
      </x:c>
      <x:c r="I14" s="60" t="n">
        <x:v>64.64</x:v>
      </x:c>
      <x:c r="J14" s="58" t="str">
        <x:f>IF(OR(NOT(ISNUMBER($B$5)),$B$5&lt;100000),"",ROUND(INDEX(B14:I14,1,IF('ข้อมูลลูกค้า'!$C$8&lt;300000,1,IF('ข้อมูลลูกค้า'!$C$8&lt;500000,3,IF('ข้อมูลลูกค้า'!$C$8&lt;1000000,5,7)))+0)*$B$5/'ข้อมูลลูกค้า'!$C$15,2))</x:f>
      </x:c>
      <x:c r="K14" s="58" t="str">
        <x:f>IF(OR(NOT(ISNUMBER($B$5)),$B$5&lt;100000),"",ROUND(INDEX(B14:I14,1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5" ht="24" customHeight="1">
      <x:c r="A15" s="48" t="n">
        <x:v>26</x:v>
      </x:c>
      <x:c r="B15" s="37" t="n">
        <x:v>61.43</x:v>
      </x:c>
      <x:c r="C15" s="37" t="n">
        <x:v>68.87</x:v>
      </x:c>
      <x:c r="D15" s="37" t="n">
        <x:v>60.82</x:v>
      </x:c>
      <x:c r="E15" s="37" t="n">
        <x:v>68.18</x:v>
      </x:c>
      <x:c r="F15" s="37" t="n">
        <x:v>60.51</x:v>
      </x:c>
      <x:c r="G15" s="37" t="n">
        <x:v>67.84</x:v>
      </x:c>
      <x:c r="H15" s="37" t="n">
        <x:v>60.2</x:v>
      </x:c>
      <x:c r="I15" s="37" t="n">
        <x:v>67.49</x:v>
      </x:c>
      <x:c r="J15" s="58" t="str">
        <x:f>IF(OR(NOT(ISNUMBER($B$5)),$B$5&lt;100000),"",ROUND(INDEX(B15:I15,1,IF('ข้อมูลลูกค้า'!$C$8&lt;300000,1,IF('ข้อมูลลูกค้า'!$C$8&lt;500000,3,IF('ข้อมูลลูกค้า'!$C$8&lt;1000000,5,7)))+0)*$B$5/'ข้อมูลลูกค้า'!$C$15,2))</x:f>
      </x:c>
      <x:c r="K15" s="58" t="str">
        <x:f>IF(OR(NOT(ISNUMBER($B$5)),$B$5&lt;100000),"",ROUND(INDEX(B15:I15,1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6" ht="24" customHeight="1">
      <x:c r="A16" s="59" t="n">
        <x:v>27</x:v>
      </x:c>
      <x:c r="B16" s="60" t="n">
        <x:v>64.32</x:v>
      </x:c>
      <x:c r="C16" s="60" t="n">
        <x:v>71.97</x:v>
      </x:c>
      <x:c r="D16" s="60" t="n">
        <x:v>63.68</x:v>
      </x:c>
      <x:c r="E16" s="60" t="n">
        <x:v>71.25</x:v>
      </x:c>
      <x:c r="F16" s="60" t="n">
        <x:v>63.36</x:v>
      </x:c>
      <x:c r="G16" s="60" t="n">
        <x:v>70.89</x:v>
      </x:c>
      <x:c r="H16" s="60" t="n">
        <x:v>63.03</x:v>
      </x:c>
      <x:c r="I16" s="60" t="n">
        <x:v>70.53</x:v>
      </x:c>
      <x:c r="J16" s="58" t="str">
        <x:f>IF(OR(NOT(ISNUMBER($B$5)),$B$5&lt;100000),"",ROUND(INDEX(B16:I16,1,IF('ข้อมูลลูกค้า'!$C$8&lt;300000,1,IF('ข้อมูลลูกค้า'!$C$8&lt;500000,3,IF('ข้อมูลลูกค้า'!$C$8&lt;1000000,5,7)))+0)*$B$5/'ข้อมูลลูกค้า'!$C$15,2))</x:f>
      </x:c>
      <x:c r="K16" s="58" t="str">
        <x:f>IF(OR(NOT(ISNUMBER($B$5)),$B$5&lt;100000),"",ROUND(INDEX(B16:I16,1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7" ht="24" customHeight="1">
      <x:c r="A17" s="48" t="n">
        <x:v>28</x:v>
      </x:c>
      <x:c r="B17" s="37" t="n">
        <x:v>67.4</x:v>
      </x:c>
      <x:c r="C17" s="37" t="n">
        <x:v>75.28</x:v>
      </x:c>
      <x:c r="D17" s="37" t="n">
        <x:v>66.73</x:v>
      </x:c>
      <x:c r="E17" s="37" t="n">
        <x:v>74.53</x:v>
      </x:c>
      <x:c r="F17" s="37" t="n">
        <x:v>66.39</x:v>
      </x:c>
      <x:c r="G17" s="37" t="n">
        <x:v>74.15</x:v>
      </x:c>
      <x:c r="H17" s="37" t="n">
        <x:v>66.05</x:v>
      </x:c>
      <x:c r="I17" s="37" t="n">
        <x:v>73.77</x:v>
      </x:c>
      <x:c r="J17" s="58" t="str">
        <x:f>IF(OR(NOT(ISNUMBER($B$5)),$B$5&lt;100000),"",ROUND(INDEX(B17:I17,1,IF('ข้อมูลลูกค้า'!$C$8&lt;300000,1,IF('ข้อมูลลูกค้า'!$C$8&lt;500000,3,IF('ข้อมูลลูกค้า'!$C$8&lt;1000000,5,7)))+0)*$B$5/'ข้อมูลลูกค้า'!$C$15,2))</x:f>
      </x:c>
      <x:c r="K17" s="58" t="str">
        <x:f>IF(OR(NOT(ISNUMBER($B$5)),$B$5&lt;100000),"",ROUND(INDEX(B17:I17,1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8" ht="24" customHeight="1">
      <x:c r="A18" s="59" t="n">
        <x:v>29</x:v>
      </x:c>
      <x:c r="B18" s="60" t="n">
        <x:v>70.71</x:v>
      </x:c>
      <x:c r="C18" s="60" t="n">
        <x:v>78.83</x:v>
      </x:c>
      <x:c r="D18" s="60" t="n">
        <x:v>70</x:v>
      </x:c>
      <x:c r="E18" s="60" t="n">
        <x:v>78.04</x:v>
      </x:c>
      <x:c r="F18" s="60" t="n">
        <x:v>69.65</x:v>
      </x:c>
      <x:c r="G18" s="60" t="n">
        <x:v>77.65</x:v>
      </x:c>
      <x:c r="H18" s="60" t="n">
        <x:v>69.3</x:v>
      </x:c>
      <x:c r="I18" s="60" t="n">
        <x:v>77.25</x:v>
      </x:c>
      <x:c r="J18" s="58" t="str">
        <x:f>IF(OR(NOT(ISNUMBER($B$5)),$B$5&lt;100000),"",ROUND(INDEX(B18:I18,1,IF('ข้อมูลลูกค้า'!$C$8&lt;300000,1,IF('ข้อมูลลูกค้า'!$C$8&lt;500000,3,IF('ข้อมูลลูกค้า'!$C$8&lt;1000000,5,7)))+0)*$B$5/'ข้อมูลลูกค้า'!$C$15,2))</x:f>
      </x:c>
      <x:c r="K18" s="58" t="str">
        <x:f>IF(OR(NOT(ISNUMBER($B$5)),$B$5&lt;100000),"",ROUND(INDEX(B18:I18,1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9" ht="24" customHeight="1">
      <x:c r="A19" s="48" t="n">
        <x:v>30</x:v>
      </x:c>
      <x:c r="B19" s="37" t="n">
        <x:v>74.25</x:v>
      </x:c>
      <x:c r="C19" s="37" t="n">
        <x:v>82.65</x:v>
      </x:c>
      <x:c r="D19" s="37" t="n">
        <x:v>73.51</x:v>
      </x:c>
      <x:c r="E19" s="37" t="n">
        <x:v>81.82</x:v>
      </x:c>
      <x:c r="F19" s="37" t="n">
        <x:v>73.14</x:v>
      </x:c>
      <x:c r="G19" s="37" t="n">
        <x:v>81.41</x:v>
      </x:c>
      <x:c r="H19" s="37" t="n">
        <x:v>72.77</x:v>
      </x:c>
      <x:c r="I19" s="37" t="n">
        <x:v>81</x:v>
      </x:c>
      <x:c r="J19" s="58" t="str">
        <x:f>IF(OR(NOT(ISNUMBER($B$5)),$B$5&lt;100000),"",ROUND(INDEX(B19:I19,1,IF('ข้อมูลลูกค้า'!$C$8&lt;300000,1,IF('ข้อมูลลูกค้า'!$C$8&lt;500000,3,IF('ข้อมูลลูกค้า'!$C$8&lt;1000000,5,7)))+0)*$B$5/'ข้อมูลลูกค้า'!$C$15,2))</x:f>
      </x:c>
      <x:c r="K19" s="58" t="str">
        <x:f>IF(OR(NOT(ISNUMBER($B$5)),$B$5&lt;100000),"",ROUND(INDEX(B19:I19,1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0" ht="24" customHeight="1">
      <x:c r="A20" s="59" t="n">
        <x:v>31</x:v>
      </x:c>
      <x:c r="B20" s="60" t="n">
        <x:v>78.08</x:v>
      </x:c>
      <x:c r="C20" s="60" t="n">
        <x:v>86.76</x:v>
      </x:c>
      <x:c r="D20" s="60" t="n">
        <x:v>77.3</x:v>
      </x:c>
      <x:c r="E20" s="60" t="n">
        <x:v>85.89</x:v>
      </x:c>
      <x:c r="F20" s="60" t="n">
        <x:v>76.91</x:v>
      </x:c>
      <x:c r="G20" s="60" t="n">
        <x:v>85.46</x:v>
      </x:c>
      <x:c r="H20" s="60" t="n">
        <x:v>76.52</x:v>
      </x:c>
      <x:c r="I20" s="60" t="n">
        <x:v>85.02</x:v>
      </x:c>
      <x:c r="J20" s="58" t="str">
        <x:f>IF(OR(NOT(ISNUMBER($B$5)),$B$5&lt;100000),"",ROUND(INDEX(B20:I20,1,IF('ข้อมูลลูกค้า'!$C$8&lt;300000,1,IF('ข้อมูลลูกค้า'!$C$8&lt;500000,3,IF('ข้อมูลลูกค้า'!$C$8&lt;1000000,5,7)))+0)*$B$5/'ข้อมูลลูกค้า'!$C$15,2))</x:f>
      </x:c>
      <x:c r="K20" s="58" t="str">
        <x:f>IF(OR(NOT(ISNUMBER($B$5)),$B$5&lt;100000),"",ROUND(INDEX(B20:I20,1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1" ht="24" customHeight="1">
      <x:c r="A21" s="48" t="n">
        <x:v>32</x:v>
      </x:c>
      <x:c r="B21" s="37" t="n">
        <x:v>82.23</x:v>
      </x:c>
      <x:c r="C21" s="37" t="n">
        <x:v>91.18</x:v>
      </x:c>
      <x:c r="D21" s="37" t="n">
        <x:v>81.41</x:v>
      </x:c>
      <x:c r="E21" s="37" t="n">
        <x:v>90.27</x:v>
      </x:c>
      <x:c r="F21" s="37" t="n">
        <x:v>81</x:v>
      </x:c>
      <x:c r="G21" s="37" t="n">
        <x:v>89.81</x:v>
      </x:c>
      <x:c r="H21" s="37" t="n">
        <x:v>80.59</x:v>
      </x:c>
      <x:c r="I21" s="37" t="n">
        <x:v>89.36</x:v>
      </x:c>
      <x:c r="J21" s="58" t="str">
        <x:f>IF(OR(NOT(ISNUMBER($B$5)),$B$5&lt;100000),"",ROUND(INDEX(B21:I21,1,IF('ข้อมูลลูกค้า'!$C$8&lt;300000,1,IF('ข้อมูลลูกค้า'!$C$8&lt;500000,3,IF('ข้อมูลลูกค้า'!$C$8&lt;1000000,5,7)))+0)*$B$5/'ข้อมูลลูกค้า'!$C$15,2))</x:f>
      </x:c>
      <x:c r="K21" s="58" t="str">
        <x:f>IF(OR(NOT(ISNUMBER($B$5)),$B$5&lt;100000),"",ROUND(INDEX(B21:I21,1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2" ht="24" customHeight="1">
      <x:c r="A22" s="59" t="n">
        <x:v>33</x:v>
      </x:c>
      <x:c r="B22" s="60" t="n">
        <x:v>86.71</x:v>
      </x:c>
      <x:c r="C22" s="60" t="n">
        <x:v>95.94</x:v>
      </x:c>
      <x:c r="D22" s="60" t="n">
        <x:v>85.84</x:v>
      </x:c>
      <x:c r="E22" s="60" t="n">
        <x:v>94.98</x:v>
      </x:c>
      <x:c r="F22" s="60" t="n">
        <x:v>85.41</x:v>
      </x:c>
      <x:c r="G22" s="60" t="n">
        <x:v>94.5</x:v>
      </x:c>
      <x:c r="H22" s="60" t="n">
        <x:v>84.98</x:v>
      </x:c>
      <x:c r="I22" s="60" t="n">
        <x:v>94.02</x:v>
      </x:c>
      <x:c r="J22" s="58" t="str">
        <x:f>IF(OR(NOT(ISNUMBER($B$5)),$B$5&lt;100000),"",ROUND(INDEX(B22:I22,1,IF('ข้อมูลลูกค้า'!$C$8&lt;300000,1,IF('ข้อมูลลูกค้า'!$C$8&lt;500000,3,IF('ข้อมูลลูกค้า'!$C$8&lt;1000000,5,7)))+0)*$B$5/'ข้อมูลลูกค้า'!$C$15,2))</x:f>
      </x:c>
      <x:c r="K22" s="58" t="str">
        <x:f>IF(OR(NOT(ISNUMBER($B$5)),$B$5&lt;100000),"",ROUND(INDEX(B22:I22,1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3" ht="24" customHeight="1">
      <x:c r="A23" s="48" t="n">
        <x:v>34</x:v>
      </x:c>
      <x:c r="B23" s="37" t="n">
        <x:v>91.58</x:v>
      </x:c>
      <x:c r="C23" s="37" t="n">
        <x:v>101.13</x:v>
      </x:c>
      <x:c r="D23" s="37" t="n">
        <x:v>90.66</x:v>
      </x:c>
      <x:c r="E23" s="37" t="n">
        <x:v>100.12</x:v>
      </x:c>
      <x:c r="F23" s="37" t="n">
        <x:v>90.21</x:v>
      </x:c>
      <x:c r="G23" s="37" t="n">
        <x:v>99.61</x:v>
      </x:c>
      <x:c r="H23" s="37" t="n">
        <x:v>89.75</x:v>
      </x:c>
      <x:c r="I23" s="37" t="n">
        <x:v>99.11</x:v>
      </x:c>
      <x:c r="J23" s="58" t="str">
        <x:f>IF(OR(NOT(ISNUMBER($B$5)),$B$5&lt;100000),"",ROUND(INDEX(B23:I23,1,IF('ข้อมูลลูกค้า'!$C$8&lt;300000,1,IF('ข้อมูลลูกค้า'!$C$8&lt;500000,3,IF('ข้อมูลลูกค้า'!$C$8&lt;1000000,5,7)))+0)*$B$5/'ข้อมูลลูกค้า'!$C$15,2))</x:f>
      </x:c>
      <x:c r="K23" s="58" t="str">
        <x:f>IF(OR(NOT(ISNUMBER($B$5)),$B$5&lt;100000),"",ROUND(INDEX(B23:I23,1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4" ht="24" customHeight="1">
      <x:c r="A24" s="59" t="n">
        <x:v>35</x:v>
      </x:c>
      <x:c r="B24" s="60" t="n">
        <x:v>96.85</x:v>
      </x:c>
      <x:c r="C24" s="60" t="n">
        <x:v>106.77</x:v>
      </x:c>
      <x:c r="D24" s="60" t="n">
        <x:v>95.88</x:v>
      </x:c>
      <x:c r="E24" s="60" t="n">
        <x:v>105.7</x:v>
      </x:c>
      <x:c r="F24" s="60" t="n">
        <x:v>95.4</x:v>
      </x:c>
      <x:c r="G24" s="60" t="n">
        <x:v>105.17</x:v>
      </x:c>
      <x:c r="H24" s="60" t="n">
        <x:v>94.91</x:v>
      </x:c>
      <x:c r="I24" s="60" t="n">
        <x:v>104.63</x:v>
      </x:c>
      <x:c r="J24" s="58" t="str">
        <x:f>IF(OR(NOT(ISNUMBER($B$5)),$B$5&lt;100000),"",ROUND(INDEX(B24:I24,1,IF('ข้อมูลลูกค้า'!$C$8&lt;300000,1,IF('ข้อมูลลูกค้า'!$C$8&lt;500000,3,IF('ข้อมูลลูกค้า'!$C$8&lt;1000000,5,7)))+0)*$B$5/'ข้อมูลลูกค้า'!$C$15,2))</x:f>
      </x:c>
      <x:c r="K24" s="58" t="str">
        <x:f>IF(OR(NOT(ISNUMBER($B$5)),$B$5&lt;100000),"",ROUND(INDEX(B24:I24,1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5" ht="24" customHeight="1">
      <x:c r="A25" s="48" t="n">
        <x:v>36</x:v>
      </x:c>
      <x:c r="B25" s="37" t="n">
        <x:v>102.65</x:v>
      </x:c>
      <x:c r="C25" s="37" t="n">
        <x:v>112.92</x:v>
      </x:c>
      <x:c r="D25" s="37" t="n">
        <x:v>101.62</x:v>
      </x:c>
      <x:c r="E25" s="37" t="n">
        <x:v>111.79</x:v>
      </x:c>
      <x:c r="F25" s="37" t="n">
        <x:v>101.11</x:v>
      </x:c>
      <x:c r="G25" s="37" t="n">
        <x:v>111.23</x:v>
      </x:c>
      <x:c r="H25" s="37" t="n">
        <x:v>100.6</x:v>
      </x:c>
      <x:c r="I25" s="37" t="n">
        <x:v>110.66</x:v>
      </x:c>
      <x:c r="J25" s="58" t="str">
        <x:f>IF(OR(NOT(ISNUMBER($B$5)),$B$5&lt;100000),"",ROUND(INDEX(B25:I25,1,IF('ข้อมูลลูกค้า'!$C$8&lt;300000,1,IF('ข้อมูลลูกค้า'!$C$8&lt;500000,3,IF('ข้อมูลลูกค้า'!$C$8&lt;1000000,5,7)))+0)*$B$5/'ข้อมูลลูกค้า'!$C$15,2))</x:f>
      </x:c>
      <x:c r="K25" s="58" t="str">
        <x:f>IF(OR(NOT(ISNUMBER($B$5)),$B$5&lt;100000),"",ROUND(INDEX(B25:I25,1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6" ht="24" customHeight="1">
      <x:c r="A26" s="59" t="n">
        <x:v>37</x:v>
      </x:c>
      <x:c r="B26" s="60" t="n">
        <x:v>109.01</x:v>
      </x:c>
      <x:c r="C26" s="60" t="n">
        <x:v>119.63</x:v>
      </x:c>
      <x:c r="D26" s="60" t="n">
        <x:v>107.92</x:v>
      </x:c>
      <x:c r="E26" s="60" t="n">
        <x:v>118.43</x:v>
      </x:c>
      <x:c r="F26" s="60" t="n">
        <x:v>107.37</x:v>
      </x:c>
      <x:c r="G26" s="60" t="n">
        <x:v>117.84</x:v>
      </x:c>
      <x:c r="H26" s="60" t="n">
        <x:v>106.83</x:v>
      </x:c>
      <x:c r="I26" s="60" t="n">
        <x:v>117.24</x:v>
      </x:c>
      <x:c r="J26" s="58" t="str">
        <x:f>IF(OR(NOT(ISNUMBER($B$5)),$B$5&lt;100000),"",ROUND(INDEX(B26:I26,1,IF('ข้อมูลลูกค้า'!$C$8&lt;300000,1,IF('ข้อมูลลูกค้า'!$C$8&lt;500000,3,IF('ข้อมูลลูกค้า'!$C$8&lt;1000000,5,7)))+0)*$B$5/'ข้อมูลลูกค้า'!$C$15,2))</x:f>
      </x:c>
      <x:c r="K26" s="58" t="str">
        <x:f>IF(OR(NOT(ISNUMBER($B$5)),$B$5&lt;100000),"",ROUND(INDEX(B26:I26,1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7" ht="24" customHeight="1">
      <x:c r="A27" s="48" t="n">
        <x:v>38</x:v>
      </x:c>
      <x:c r="B27" s="37" t="n">
        <x:v>115.99</x:v>
      </x:c>
      <x:c r="C27" s="37" t="n">
        <x:v>127</x:v>
      </x:c>
      <x:c r="D27" s="37" t="n">
        <x:v>114.83</x:v>
      </x:c>
      <x:c r="E27" s="37" t="n">
        <x:v>125.73</x:v>
      </x:c>
      <x:c r="F27" s="37" t="n">
        <x:v>114.25</x:v>
      </x:c>
      <x:c r="G27" s="37" t="n">
        <x:v>125.1</x:v>
      </x:c>
      <x:c r="H27" s="37" t="n">
        <x:v>113.67</x:v>
      </x:c>
      <x:c r="I27" s="37" t="n">
        <x:v>124.46</x:v>
      </x:c>
      <x:c r="J27" s="58" t="str">
        <x:f>IF(OR(NOT(ISNUMBER($B$5)),$B$5&lt;100000),"",ROUND(INDEX(B27:I27,1,IF('ข้อมูลลูกค้า'!$C$8&lt;300000,1,IF('ข้อมูลลูกค้า'!$C$8&lt;500000,3,IF('ข้อมูลลูกค้า'!$C$8&lt;1000000,5,7)))+0)*$B$5/'ข้อมูลลูกค้า'!$C$15,2))</x:f>
      </x:c>
      <x:c r="K27" s="58" t="str">
        <x:f>IF(OR(NOT(ISNUMBER($B$5)),$B$5&lt;100000),"",ROUND(INDEX(B27:I27,1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8" ht="24" customHeight="1">
      <x:c r="A28" s="59" t="n">
        <x:v>39</x:v>
      </x:c>
      <x:c r="B28" s="60" t="n">
        <x:v>123.68</x:v>
      </x:c>
      <x:c r="C28" s="60" t="n">
        <x:v>135.17</x:v>
      </x:c>
      <x:c r="D28" s="60" t="n">
        <x:v>122.44</x:v>
      </x:c>
      <x:c r="E28" s="60" t="n">
        <x:v>133.82</x:v>
      </x:c>
      <x:c r="F28" s="60" t="n">
        <x:v>121.82</x:v>
      </x:c>
      <x:c r="G28" s="60" t="n">
        <x:v>133.14</x:v>
      </x:c>
      <x:c r="H28" s="60" t="n">
        <x:v>121.21</x:v>
      </x:c>
      <x:c r="I28" s="60" t="n">
        <x:v>132.47</x:v>
      </x:c>
      <x:c r="J28" s="58" t="str">
        <x:f>IF(OR(NOT(ISNUMBER($B$5)),$B$5&lt;100000),"",ROUND(INDEX(B28:I28,1,IF('ข้อมูลลูกค้า'!$C$8&lt;300000,1,IF('ข้อมูลลูกค้า'!$C$8&lt;500000,3,IF('ข้อมูลลูกค้า'!$C$8&lt;1000000,5,7)))+0)*$B$5/'ข้อมูลลูกค้า'!$C$15,2))</x:f>
      </x:c>
      <x:c r="K28" s="58" t="str">
        <x:f>IF(OR(NOT(ISNUMBER($B$5)),$B$5&lt;100000),"",ROUND(INDEX(B28:I28,1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9" ht="24" customHeight="1">
      <x:c r="A29" s="48" t="n">
        <x:v>40</x:v>
      </x:c>
      <x:c r="B29" s="37" t="n">
        <x:v>132.27</x:v>
      </x:c>
      <x:c r="C29" s="37" t="n">
        <x:v>144.21</x:v>
      </x:c>
      <x:c r="D29" s="37" t="n">
        <x:v>130.95</x:v>
      </x:c>
      <x:c r="E29" s="37" t="n">
        <x:v>142.77</x:v>
      </x:c>
      <x:c r="F29" s="37" t="n">
        <x:v>130.29</x:v>
      </x:c>
      <x:c r="G29" s="37" t="n">
        <x:v>142.05</x:v>
      </x:c>
      <x:c r="H29" s="37" t="n">
        <x:v>129.62</x:v>
      </x:c>
      <x:c r="I29" s="37" t="n">
        <x:v>141.33</x:v>
      </x:c>
      <x:c r="J29" s="58" t="str">
        <x:f>IF(OR(NOT(ISNUMBER($B$5)),$B$5&lt;100000),"",ROUND(INDEX(B29:I29,1,IF('ข้อมูลลูกค้า'!$C$8&lt;300000,1,IF('ข้อมูลลูกค้า'!$C$8&lt;500000,3,IF('ข้อมูลลูกค้า'!$C$8&lt;1000000,5,7)))+0)*$B$5/'ข้อมูลลูกค้า'!$C$15,2))</x:f>
      </x:c>
      <x:c r="K29" s="58" t="str">
        <x:f>IF(OR(NOT(ISNUMBER($B$5)),$B$5&lt;100000),"",ROUND(INDEX(B29:I29,1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0" ht="24" customHeight="1">
      <x:c r="A30" s="59" t="n">
        <x:v>41</x:v>
      </x:c>
      <x:c r="B30" s="60" t="n">
        <x:v>141.86</x:v>
      </x:c>
      <x:c r="C30" s="60" t="n">
        <x:v>154.25</x:v>
      </x:c>
      <x:c r="D30" s="60" t="n">
        <x:v>140.44</x:v>
      </x:c>
      <x:c r="E30" s="60" t="n">
        <x:v>152.71</x:v>
      </x:c>
      <x:c r="F30" s="60" t="n">
        <x:v>139.73</x:v>
      </x:c>
      <x:c r="G30" s="60" t="n">
        <x:v>151.94</x:v>
      </x:c>
      <x:c r="H30" s="60" t="n">
        <x:v>139.02</x:v>
      </x:c>
      <x:c r="I30" s="60" t="n">
        <x:v>151.17</x:v>
      </x:c>
      <x:c r="J30" s="58" t="str">
        <x:f>IF(OR(NOT(ISNUMBER($B$5)),$B$5&lt;100000),"",ROUND(INDEX(B30:I30,1,IF('ข้อมูลลูกค้า'!$C$8&lt;300000,1,IF('ข้อมูลลูกค้า'!$C$8&lt;500000,3,IF('ข้อมูลลูกค้า'!$C$8&lt;1000000,5,7)))+0)*$B$5/'ข้อมูลลูกค้า'!$C$15,2))</x:f>
      </x:c>
      <x:c r="K30" s="58" t="str">
        <x:f>IF(OR(NOT(ISNUMBER($B$5)),$B$5&lt;100000),"",ROUND(INDEX(B30:I30,1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1" ht="24" customHeight="1">
      <x:c r="A31" s="48" t="n">
        <x:v>42</x:v>
      </x:c>
      <x:c r="B31" s="37" t="n">
        <x:v>152.59</x:v>
      </x:c>
      <x:c r="C31" s="37" t="n">
        <x:v>165.49</x:v>
      </x:c>
      <x:c r="D31" s="37" t="n">
        <x:v>151.06</x:v>
      </x:c>
      <x:c r="E31" s="37" t="n">
        <x:v>163.84</x:v>
      </x:c>
      <x:c r="F31" s="37" t="n">
        <x:v>150.3</x:v>
      </x:c>
      <x:c r="G31" s="37" t="n">
        <x:v>163.01</x:v>
      </x:c>
      <x:c r="H31" s="37" t="n">
        <x:v>149.54</x:v>
      </x:c>
      <x:c r="I31" s="37" t="n">
        <x:v>162.18</x:v>
      </x:c>
      <x:c r="J31" s="58" t="str">
        <x:f>IF(OR(NOT(ISNUMBER($B$5)),$B$5&lt;100000),"",ROUND(INDEX(B31:I31,1,IF('ข้อมูลลูกค้า'!$C$8&lt;300000,1,IF('ข้อมูลลูกค้า'!$C$8&lt;500000,3,IF('ข้อมูลลูกค้า'!$C$8&lt;1000000,5,7)))+0)*$B$5/'ข้อมูลลูกค้า'!$C$15,2))</x:f>
      </x:c>
      <x:c r="K31" s="58" t="str">
        <x:f>IF(OR(NOT(ISNUMBER($B$5)),$B$5&lt;100000),"",ROUND(INDEX(B31:I31,1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2" ht="24" customHeight="1">
      <x:c r="A32" s="59" t="n">
        <x:v>43</x:v>
      </x:c>
      <x:c r="B32" s="60" t="n">
        <x:v>164.7</x:v>
      </x:c>
      <x:c r="C32" s="60" t="n">
        <x:v>178.21</x:v>
      </x:c>
      <x:c r="D32" s="60" t="n">
        <x:v>163.05</x:v>
      </x:c>
      <x:c r="E32" s="60" t="n">
        <x:v>176.43</x:v>
      </x:c>
      <x:c r="F32" s="60" t="n">
        <x:v>162.23</x:v>
      </x:c>
      <x:c r="G32" s="60" t="n">
        <x:v>175.54</x:v>
      </x:c>
      <x:c r="H32" s="60" t="n">
        <x:v>161.41</x:v>
      </x:c>
      <x:c r="I32" s="60" t="n">
        <x:v>174.65</x:v>
      </x:c>
      <x:c r="J32" s="58" t="str">
        <x:f>IF(OR(NOT(ISNUMBER($B$5)),$B$5&lt;100000),"",ROUND(INDEX(B32:I32,1,IF('ข้อมูลลูกค้า'!$C$8&lt;300000,1,IF('ข้อมูลลูกค้า'!$C$8&lt;500000,3,IF('ข้อมูลลูกค้า'!$C$8&lt;1000000,5,7)))+0)*$B$5/'ข้อมูลลูกค้า'!$C$15,2))</x:f>
      </x:c>
      <x:c r="K32" s="58" t="str">
        <x:f>IF(OR(NOT(ISNUMBER($B$5)),$B$5&lt;100000),"",ROUND(INDEX(B32:I32,1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3" ht="24" customHeight="1">
      <x:c r="A33" s="48" t="n">
        <x:v>44</x:v>
      </x:c>
      <x:c r="B33" s="37" t="n">
        <x:v>178.55</x:v>
      </x:c>
      <x:c r="C33" s="37" t="n">
        <x:v>192.62</x:v>
      </x:c>
      <x:c r="D33" s="37" t="n">
        <x:v>176.76</x:v>
      </x:c>
      <x:c r="E33" s="37" t="n">
        <x:v>190.69</x:v>
      </x:c>
      <x:c r="F33" s="37" t="n">
        <x:v>175.87</x:v>
      </x:c>
      <x:c r="G33" s="37" t="n">
        <x:v>189.73</x:v>
      </x:c>
      <x:c r="H33" s="37" t="n">
        <x:v>174.98</x:v>
      </x:c>
      <x:c r="I33" s="37" t="n">
        <x:v>188.77</x:v>
      </x:c>
      <x:c r="J33" s="58" t="str">
        <x:f>IF(OR(NOT(ISNUMBER($B$5)),$B$5&lt;100000),"",ROUND(INDEX(B33:I33,1,IF('ข้อมูลลูกค้า'!$C$8&lt;300000,1,IF('ข้อมูลลูกค้า'!$C$8&lt;500000,3,IF('ข้อมูลลูกค้า'!$C$8&lt;1000000,5,7)))+0)*$B$5/'ข้อมูลลูกค้า'!$C$15,2))</x:f>
      </x:c>
      <x:c r="K33" s="58" t="str">
        <x:f>IF(OR(NOT(ISNUMBER($B$5)),$B$5&lt;100000),"",ROUND(INDEX(B33:I33,1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4" ht="24" customHeight="1">
      <x:c r="A34" s="59" t="n">
        <x:v>45</x:v>
      </x:c>
      <x:c r="B34" s="60" t="n">
        <x:v>194.38</x:v>
      </x:c>
      <x:c r="C34" s="60" t="n">
        <x:v>209.07</x:v>
      </x:c>
      <x:c r="D34" s="60" t="n">
        <x:v>192.44</x:v>
      </x:c>
      <x:c r="E34" s="60" t="n">
        <x:v>206.98</x:v>
      </x:c>
      <x:c r="F34" s="60" t="n">
        <x:v>191.46</x:v>
      </x:c>
      <x:c r="G34" s="60" t="n">
        <x:v>205.93</x:v>
      </x:c>
      <x:c r="H34" s="60" t="n">
        <x:v>190.49</x:v>
      </x:c>
      <x:c r="I34" s="60" t="n">
        <x:v>204.89</x:v>
      </x:c>
      <x:c r="J34" s="58" t="str">
        <x:f>IF(OR(NOT(ISNUMBER($B$5)),$B$5&lt;100000),"",ROUND(INDEX(B34:I34,1,IF('ข้อมูลลูกค้า'!$C$8&lt;300000,1,IF('ข้อมูลลูกค้า'!$C$8&lt;500000,3,IF('ข้อมูลลูกค้า'!$C$8&lt;1000000,5,7)))+0)*$B$5/'ข้อมูลลูกค้า'!$C$15,2))</x:f>
      </x:c>
      <x:c r="K34" s="58" t="str">
        <x:f>IF(OR(NOT(ISNUMBER($B$5)),$B$5&lt;100000),"",ROUND(INDEX(B34:I34,1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5" ht="24" customHeight="1">
      <x:c r="A35" s="48" t="n">
        <x:v>46</x:v>
      </x:c>
      <x:c r="B35" s="37" t="n">
        <x:v>212.66</x:v>
      </x:c>
      <x:c r="C35" s="37" t="n">
        <x:v>228.04</x:v>
      </x:c>
      <x:c r="D35" s="37" t="n">
        <x:v>210.53</x:v>
      </x:c>
      <x:c r="E35" s="37" t="n">
        <x:v>225.76</x:v>
      </x:c>
      <x:c r="F35" s="37" t="n">
        <x:v>209.47</x:v>
      </x:c>
      <x:c r="G35" s="37" t="n">
        <x:v>224.62</x:v>
      </x:c>
      <x:c r="H35" s="37" t="n">
        <x:v>208.41</x:v>
      </x:c>
      <x:c r="I35" s="37" t="n">
        <x:v>223.48</x:v>
      </x:c>
      <x:c r="J35" s="58" t="str">
        <x:f>IF(OR(NOT(ISNUMBER($B$5)),$B$5&lt;100000),"",ROUND(INDEX(B35:I35,1,IF('ข้อมูลลูกค้า'!$C$8&lt;300000,1,IF('ข้อมูลลูกค้า'!$C$8&lt;500000,3,IF('ข้อมูลลูกค้า'!$C$8&lt;1000000,5,7)))+0)*$B$5/'ข้อมูลลูกค้า'!$C$15,2))</x:f>
      </x:c>
      <x:c r="K35" s="58" t="str">
        <x:f>IF(OR(NOT(ISNUMBER($B$5)),$B$5&lt;100000),"",ROUND(INDEX(B35:I35,1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6" ht="24" customHeight="1">
      <x:c r="A36" s="59" t="n">
        <x:v>47</x:v>
      </x:c>
      <x:c r="B36" s="60" t="n">
        <x:v>234.17</x:v>
      </x:c>
      <x:c r="C36" s="60" t="n">
        <x:v>250.23</x:v>
      </x:c>
      <x:c r="D36" s="60" t="n">
        <x:v>231.83</x:v>
      </x:c>
      <x:c r="E36" s="60" t="n">
        <x:v>247.73</x:v>
      </x:c>
      <x:c r="F36" s="60" t="n">
        <x:v>230.66</x:v>
      </x:c>
      <x:c r="G36" s="60" t="n">
        <x:v>246.48</x:v>
      </x:c>
      <x:c r="H36" s="60" t="n">
        <x:v>229.49</x:v>
      </x:c>
      <x:c r="I36" s="60" t="n">
        <x:v>245.23</x:v>
      </x:c>
      <x:c r="J36" s="58" t="str">
        <x:f>IF(OR(NOT(ISNUMBER($B$5)),$B$5&lt;100000),"",ROUND(INDEX(B36:I36,1,IF('ข้อมูลลูกค้า'!$C$8&lt;300000,1,IF('ข้อมูลลูกค้า'!$C$8&lt;500000,3,IF('ข้อมูลลูกค้า'!$C$8&lt;1000000,5,7)))+0)*$B$5/'ข้อมูลลูกค้า'!$C$15,2))</x:f>
      </x:c>
      <x:c r="K36" s="58" t="str">
        <x:f>IF(OR(NOT(ISNUMBER($B$5)),$B$5&lt;100000),"",ROUND(INDEX(B36:I36,1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7" ht="24" customHeight="1">
      <x:c r="A37" s="48" t="n">
        <x:v>48</x:v>
      </x:c>
      <x:c r="B37" s="37" t="n">
        <x:v>254.84</x:v>
      </x:c>
      <x:c r="C37" s="37" t="n">
        <x:v>272.22</x:v>
      </x:c>
      <x:c r="D37" s="37" t="n">
        <x:v>252.29</x:v>
      </x:c>
      <x:c r="E37" s="37" t="n">
        <x:v>269.5</x:v>
      </x:c>
      <x:c r="F37" s="37" t="n">
        <x:v>251.02</x:v>
      </x:c>
      <x:c r="G37" s="37" t="n">
        <x:v>268.14</x:v>
      </x:c>
      <x:c r="H37" s="37" t="n">
        <x:v>249.74</x:v>
      </x:c>
      <x:c r="I37" s="37" t="n">
        <x:v>266.78</x:v>
      </x:c>
      <x:c r="J37" s="58" t="str">
        <x:f>IF(OR(NOT(ISNUMBER($B$5)),$B$5&lt;100000),"",ROUND(INDEX(B37:I37,1,IF('ข้อมูลลูกค้า'!$C$8&lt;300000,1,IF('ข้อมูลลูกค้า'!$C$8&lt;500000,3,IF('ข้อมูลลูกค้า'!$C$8&lt;1000000,5,7)))+0)*$B$5/'ข้อมูลลูกค้า'!$C$15,2))</x:f>
      </x:c>
      <x:c r="K37" s="58" t="str">
        <x:f>IF(OR(NOT(ISNUMBER($B$5)),$B$5&lt;100000),"",ROUND(INDEX(B37:I37,1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8" ht="24" customHeight="1">
      <x:c r="A38" s="59" t="n">
        <x:v>49</x:v>
      </x:c>
      <x:c r="B38" s="60" t="n">
        <x:v>284.64</x:v>
      </x:c>
      <x:c r="C38" s="60" t="n">
        <x:v>302.94</x:v>
      </x:c>
      <x:c r="D38" s="60" t="n">
        <x:v>281.79</x:v>
      </x:c>
      <x:c r="E38" s="60" t="n">
        <x:v>299.91</x:v>
      </x:c>
      <x:c r="F38" s="60" t="n">
        <x:v>280.37</x:v>
      </x:c>
      <x:c r="G38" s="60" t="n">
        <x:v>298.4</x:v>
      </x:c>
      <x:c r="H38" s="60" t="n">
        <x:v>278.95</x:v>
      </x:c>
      <x:c r="I38" s="60" t="n">
        <x:v>296.88</x:v>
      </x:c>
      <x:c r="J38" s="58" t="str">
        <x:f>IF(OR(NOT(ISNUMBER($B$5)),$B$5&lt;100000),"",ROUND(INDEX(B38:I38,1,IF('ข้อมูลลูกค้า'!$C$8&lt;300000,1,IF('ข้อมูลลูกค้า'!$C$8&lt;500000,3,IF('ข้อมูลลูกค้า'!$C$8&lt;1000000,5,7)))+0)*$B$5/'ข้อมูลลูกค้า'!$C$15,2))</x:f>
      </x:c>
      <x:c r="K38" s="58" t="str">
        <x:f>IF(OR(NOT(ISNUMBER($B$5)),$B$5&lt;100000),"",ROUND(INDEX(B38:I38,1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9" ht="24" customHeight="1">
      <x:c r="A39" s="48" t="n">
        <x:v>50</x:v>
      </x:c>
      <x:c r="B39" s="37" t="n">
        <x:v>321.06</x:v>
      </x:c>
      <x:c r="C39" s="37" t="n">
        <x:v>340.26</x:v>
      </x:c>
      <x:c r="D39" s="37" t="n">
        <x:v>317.85</x:v>
      </x:c>
      <x:c r="E39" s="37" t="n">
        <x:v>336.86</x:v>
      </x:c>
      <x:c r="F39" s="37" t="n">
        <x:v>316.24</x:v>
      </x:c>
      <x:c r="G39" s="37" t="n">
        <x:v>335.16</x:v>
      </x:c>
      <x:c r="H39" s="37" t="n">
        <x:v>314.64</x:v>
      </x:c>
      <x:c r="I39" s="37" t="n">
        <x:v>333.45</x:v>
      </x:c>
      <x:c r="J39" s="58" t="str">
        <x:f>IF(OR(NOT(ISNUMBER($B$5)),$B$5&lt;100000),"",ROUND(INDEX(B39:I39,1,IF('ข้อมูลลูกค้า'!$C$8&lt;300000,1,IF('ข้อมูลลูกค้า'!$C$8&lt;500000,3,IF('ข้อมูลลูกค้า'!$C$8&lt;1000000,5,7)))+0)*$B$5/'ข้อมูลลูกค้า'!$C$15,2))</x:f>
      </x:c>
      <x:c r="K39" s="58" t="str">
        <x:f>IF(OR(NOT(ISNUMBER($B$5)),$B$5&lt;100000),"",ROUND(INDEX(B39:I39,1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0" ht="24" customHeight="1">
      <x:c r="A40" s="59" t="n">
        <x:v>51</x:v>
      </x:c>
      <x:c r="B40" s="60" t="n">
        <x:v>352.42</x:v>
      </x:c>
      <x:c r="C40" s="60" t="n">
        <x:v>374.61</x:v>
      </x:c>
      <x:c r="D40" s="60" t="n">
        <x:v>348.9</x:v>
      </x:c>
      <x:c r="E40" s="60" t="n">
        <x:v>370.86</x:v>
      </x:c>
      <x:c r="F40" s="60" t="n">
        <x:v>347.13</x:v>
      </x:c>
      <x:c r="G40" s="60" t="n">
        <x:v>368.99</x:v>
      </x:c>
      <x:c r="H40" s="60" t="n">
        <x:v>345.37</x:v>
      </x:c>
      <x:c r="I40" s="60" t="n">
        <x:v>367.12</x:v>
      </x:c>
      <x:c r="J40" s="58" t="str">
        <x:f>IF(OR(NOT(ISNUMBER($B$5)),$B$5&lt;100000),"",ROUND(INDEX(B40:I40,1,IF('ข้อมูลลูกค้า'!$C$8&lt;300000,1,IF('ข้อมูลลูกค้า'!$C$8&lt;500000,3,IF('ข้อมูลลูกค้า'!$C$8&lt;1000000,5,7)))+0)*$B$5/'ข้อมูลลูกค้า'!$C$15,2))</x:f>
      </x:c>
      <x:c r="K40" s="58" t="str">
        <x:f>IF(OR(NOT(ISNUMBER($B$5)),$B$5&lt;100000),"",ROUND(INDEX(B40:I40,1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1" ht="24" customHeight="1">
      <x:c r="A41" s="48" t="n">
        <x:v>52</x:v>
      </x:c>
      <x:c r="B41" s="37" t="n">
        <x:v>400.02</x:v>
      </x:c>
      <x:c r="C41" s="37" t="n">
        <x:v>424.72</x:v>
      </x:c>
      <x:c r="D41" s="37" t="n">
        <x:v>396.02</x:v>
      </x:c>
      <x:c r="E41" s="37" t="n">
        <x:v>420.47</x:v>
      </x:c>
      <x:c r="F41" s="37" t="n">
        <x:v>394.02</x:v>
      </x:c>
      <x:c r="G41" s="37" t="n">
        <x:v>418.35</x:v>
      </x:c>
      <x:c r="H41" s="37" t="n">
        <x:v>392.02</x:v>
      </x:c>
      <x:c r="I41" s="37" t="n">
        <x:v>416.23</x:v>
      </x:c>
      <x:c r="J41" s="58" t="str">
        <x:f>IF(OR(NOT(ISNUMBER($B$5)),$B$5&lt;100000),"",ROUND(INDEX(B41:I41,1,IF('ข้อมูลลูกค้า'!$C$8&lt;300000,1,IF('ข้อมูลลูกค้า'!$C$8&lt;500000,3,IF('ข้อมูลลูกค้า'!$C$8&lt;1000000,5,7)))+0)*$B$5/'ข้อมูลลูกค้า'!$C$15,2))</x:f>
      </x:c>
      <x:c r="K41" s="58" t="str">
        <x:f>IF(OR(NOT(ISNUMBER($B$5)),$B$5&lt;100000),"",ROUND(INDEX(B41:I41,1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2" ht="24" customHeight="1">
      <x:c r="A42" s="59" t="n">
        <x:v>53</x:v>
      </x:c>
      <x:c r="B42" s="60" t="n">
        <x:v>471.96</x:v>
      </x:c>
      <x:c r="C42" s="60" t="n">
        <x:v>498.48</x:v>
      </x:c>
      <x:c r="D42" s="60" t="n">
        <x:v>467.24</x:v>
      </x:c>
      <x:c r="E42" s="60" t="n">
        <x:v>493.5</x:v>
      </x:c>
      <x:c r="F42" s="60" t="n">
        <x:v>464.88</x:v>
      </x:c>
      <x:c r="G42" s="60" t="n">
        <x:v>491</x:v>
      </x:c>
      <x:c r="H42" s="60" t="n">
        <x:v>462.52</x:v>
      </x:c>
      <x:c r="I42" s="60" t="n">
        <x:v>488.51</x:v>
      </x:c>
      <x:c r="J42" s="58" t="str">
        <x:f>IF(OR(NOT(ISNUMBER($B$5)),$B$5&lt;100000),"",ROUND(INDEX(B42:I42,1,IF('ข้อมูลลูกค้า'!$C$8&lt;300000,1,IF('ข้อมูลลูกค้า'!$C$8&lt;500000,3,IF('ข้อมูลลูกค้า'!$C$8&lt;1000000,5,7)))+0)*$B$5/'ข้อมูลลูกค้า'!$C$15,2))</x:f>
      </x:c>
      <x:c r="K42" s="58" t="str">
        <x:f>IF(OR(NOT(ISNUMBER($B$5)),$B$5&lt;100000),"",ROUND(INDEX(B42:I42,1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3" ht="24" customHeight="1">
      <x:c r="A43" s="48" t="n">
        <x:v>54</x:v>
      </x:c>
      <x:c r="B43" s="37" t="n">
        <x:v>571.41</x:v>
      </x:c>
      <x:c r="C43" s="37" t="n">
        <x:v>599.43</x:v>
      </x:c>
      <x:c r="D43" s="37" t="n">
        <x:v>565.7</x:v>
      </x:c>
      <x:c r="E43" s="37" t="n">
        <x:v>593.44</x:v>
      </x:c>
      <x:c r="F43" s="37" t="n">
        <x:v>562.84</x:v>
      </x:c>
      <x:c r="G43" s="37" t="n">
        <x:v>590.44</x:v>
      </x:c>
      <x:c r="H43" s="37" t="n">
        <x:v>559.98</x:v>
      </x:c>
      <x:c r="I43" s="37" t="n">
        <x:v>587.44</x:v>
      </x:c>
      <x:c r="J43" s="58" t="str">
        <x:f>IF(OR(NOT(ISNUMBER($B$5)),$B$5&lt;100000),"",ROUND(INDEX(B43:I43,1,IF('ข้อมูลลูกค้า'!$C$8&lt;300000,1,IF('ข้อมูลลูกค้า'!$C$8&lt;500000,3,IF('ข้อมูลลูกค้า'!$C$8&lt;1000000,5,7)))+0)*$B$5/'ข้อมูลลูกค้า'!$C$15,2))</x:f>
      </x:c>
      <x:c r="K43" s="58" t="str">
        <x:f>IF(OR(NOT(ISNUMBER($B$5)),$B$5&lt;100000),"",ROUND(INDEX(B43:I43,1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4" ht="24" customHeight="1">
      <x:c r="A44" s="59" t="n">
        <x:v>55</x:v>
      </x:c>
      <x:c r="B44" s="60" t="n">
        <x:v>702.62</x:v>
      </x:c>
      <x:c r="C44" s="60" t="n">
        <x:v>734.07</x:v>
      </x:c>
      <x:c r="D44" s="60" t="n">
        <x:v>695.59</x:v>
      </x:c>
      <x:c r="E44" s="60" t="n">
        <x:v>726.73</x:v>
      </x:c>
      <x:c r="F44" s="60" t="n">
        <x:v>692.08</x:v>
      </x:c>
      <x:c r="G44" s="60" t="n">
        <x:v>723.06</x:v>
      </x:c>
      <x:c r="H44" s="60" t="n">
        <x:v>688.57</x:v>
      </x:c>
      <x:c r="I44" s="60" t="n">
        <x:v>719.39</x:v>
      </x:c>
      <x:c r="J44" s="58" t="str">
        <x:f>IF(OR(NOT(ISNUMBER($B$5)),$B$5&lt;100000),"",ROUND(INDEX(B44:I44,1,IF('ข้อมูลลูกค้า'!$C$8&lt;300000,1,IF('ข้อมูลลูกค้า'!$C$8&lt;500000,3,IF('ข้อมูลลูกค้า'!$C$8&lt;1000000,5,7)))+0)*$B$5/'ข้อมูลลูกค้า'!$C$15,2))</x:f>
      </x:c>
      <x:c r="K44" s="58" t="str">
        <x:f>IF(OR(NOT(ISNUMBER($B$5)),$B$5&lt;100000),"",ROUND(INDEX(B44:I44,1,IF('ข้อมูลลูกค้า'!$C$8&lt;300000,1,IF('ข้อมูลลูกค้า'!$C$8&lt;500000,3,IF('ข้อมูลลูกค้า'!$C$8&lt;1000000,5,7)))+1)*$B$5/'ข้อมูลลูกค้า'!$C$15,2))</x:f>
      </x:c>
    </x:row>
  </x:sheetData>
  <x:mergeCells>
    <x:mergeCell ref="B7:C7"/>
    <x:mergeCell ref="D7:E7"/>
    <x:mergeCell ref="F7:G7"/>
    <x:mergeCell ref="H7:I7"/>
    <x:mergeCell ref="J7:K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997AE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</x:cols>
  <x:sheetData>
    <x:row r="1" ht="24" customHeight="1">
      <x:c r="A1" s="48"/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24" customHeight="1">
      <x:c r="A2" s="53" t="str">
        <x:v>เฟล็กซี่ รีไทร์ 9065 (บำนาญแบบลดหย่อนได้)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 ht="24" customHeight="1">
      <x:c r="A3" s="48" t="str">
        <x:v>แหล่งข้อมูลอัตราเบี้ยรายปี: flexi2.pdf หน้า 1–4 แยกตามช่วงทุนประกัน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 ht="24" customHeight="1">
      <x:c r="A4" s="48" t="str">
        <x:v>อัตราต่อทุนประกัน 1,000 บาท อายุ 20–60 ปี ชำระเบี้ยถึงก่อนอายุ 65 ปี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</x:row>
    <x:row r="5" ht="24" customHeight="1">
      <x:c r="A5" s="48" t="str">
        <x:v>ทุนที่ใช้คำนวณ</x:v>
      </x:c>
      <x:c r="B5" s="37" t="str">
        <x:f>IF('ข้อมูลลูกค้า'!C8="","",'ข้อมูลลูกค้า'!C8)</x:f>
      </x:c>
      <x:c r="C5" s="48" t="str">
        <x:v>บาท (จากหน้าข้อมูลลูกค้า)</x:v>
      </x:c>
      <x:c r="D5" s="48"/>
      <x:c r="E5" s="48"/>
      <x:c r="F5" s="48"/>
      <x:c r="G5" s="48"/>
      <x:c r="H5" s="48"/>
      <x:c r="I5" s="48"/>
      <x:c r="J5" s="48"/>
      <x:c r="K5" s="48"/>
    </x:row>
    <x:row r="6" ht="24" customHeight="1">
      <x:c r="A6" s="48" t="str">
        <x:v>ทุนประกันในตารางเริ่มที่ 100,000 บาท อัตราแต่ละช่วงรวมอยู่ในตารางแล้ว</x:v>
      </x:c>
      <x:c r="B6" s="48"/>
      <x:c r="C6" s="48"/>
      <x:c r="D6" s="48"/>
      <x:c r="E6" s="48"/>
      <x:c r="F6" s="48"/>
      <x:c r="G6" s="48"/>
      <x:c r="H6" s="48"/>
      <x:c r="I6" s="48"/>
      <x:c r="J6" s="48"/>
      <x:c r="K6" s="48"/>
    </x:row>
    <x:row r="7" ht="27" customHeight="1">
      <x:c r="A7" s="57" t="str">
        <x:v>ช่วงทุน (บาท)</x:v>
      </x:c>
      <x:c r="B7" s="57" t="str">
        <x:v>100,000–299,999</x:v>
      </x:c>
      <x:c r="C7" s="57"/>
      <x:c r="D7" s="57" t="str">
        <x:v>300,000–499,999</x:v>
      </x:c>
      <x:c r="E7" s="57"/>
      <x:c r="F7" s="57" t="str">
        <x:v>500,000–999,999</x:v>
      </x:c>
      <x:c r="G7" s="57"/>
      <x:c r="H7" s="57" t="str">
        <x:v>ตั้งแต่ 1,000,000</x:v>
      </x:c>
      <x:c r="I7" s="57"/>
      <x:c r="J7" s="57" t="str">
        <x:v>เบี้ยรายปีตามทุนที่กรอก (บาท)</x:v>
      </x:c>
      <x:c r="K7" s="57"/>
    </x:row>
    <x:row r="8" ht="27" customHeight="1">
      <x:c r="A8" s="57" t="str">
        <x:v>อายุ (ปี)</x:v>
      </x:c>
      <x:c r="B8" s="57" t="str">
        <x:v>ชาย</x:v>
      </x:c>
      <x:c r="C8" s="57" t="str">
        <x:v>หญิง</x:v>
      </x:c>
      <x:c r="D8" s="57" t="str">
        <x:v>ชาย</x:v>
      </x:c>
      <x:c r="E8" s="57" t="str">
        <x:v>หญิง</x:v>
      </x:c>
      <x:c r="F8" s="57" t="str">
        <x:v>ชาย</x:v>
      </x:c>
      <x:c r="G8" s="57" t="str">
        <x:v>หญิง</x:v>
      </x:c>
      <x:c r="H8" s="57" t="str">
        <x:v>ชาย</x:v>
      </x:c>
      <x:c r="I8" s="57" t="str">
        <x:v>หญิง</x:v>
      </x:c>
      <x:c r="J8" s="57" t="str">
        <x:v>ชาย</x:v>
      </x:c>
      <x:c r="K8" s="57" t="str">
        <x:v>หญิง</x:v>
      </x:c>
    </x:row>
    <x:row r="9" ht="24" customHeight="1">
      <x:c r="A9" s="48" t="n">
        <x:v>20</x:v>
      </x:c>
      <x:c r="B9" s="37" t="n">
        <x:v>35.5</x:v>
      </x:c>
      <x:c r="C9" s="37" t="n">
        <x:v>40.87</x:v>
      </x:c>
      <x:c r="D9" s="37" t="n">
        <x:v>35.15</x:v>
      </x:c>
      <x:c r="E9" s="37" t="n">
        <x:v>40.46</x:v>
      </x:c>
      <x:c r="F9" s="37" t="n">
        <x:v>34.97</x:v>
      </x:c>
      <x:c r="G9" s="37" t="n">
        <x:v>40.26</x:v>
      </x:c>
      <x:c r="H9" s="37" t="n">
        <x:v>34.79</x:v>
      </x:c>
      <x:c r="I9" s="37" t="n">
        <x:v>40.05</x:v>
      </x:c>
      <x:c r="J9" s="58" t="str">
        <x:f>IF(OR(NOT(ISNUMBER($B$5)),$B$5&lt;100000),"",ROUND(INDEX(B9:I9,1,IF('ข้อมูลลูกค้า'!$C$8&lt;300000,1,IF('ข้อมูลลูกค้า'!$C$8&lt;500000,3,IF('ข้อมูลลูกค้า'!$C$8&lt;1000000,5,7)))+0)*$B$5/'ข้อมูลลูกค้า'!$C$15,2))</x:f>
      </x:c>
      <x:c r="K9" s="58" t="str">
        <x:f>IF(OR(NOT(ISNUMBER($B$5)),$B$5&lt;100000),"",ROUND(INDEX(B9:I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0" ht="24" customHeight="1">
      <x:c r="A10" s="59" t="n">
        <x:v>21</x:v>
      </x:c>
      <x:c r="B10" s="60" t="n">
        <x:v>36.89</x:v>
      </x:c>
      <x:c r="C10" s="60" t="n">
        <x:v>42.41</x:v>
      </x:c>
      <x:c r="D10" s="60" t="n">
        <x:v>36.52</x:v>
      </x:c>
      <x:c r="E10" s="60" t="n">
        <x:v>41.99</x:v>
      </x:c>
      <x:c r="F10" s="60" t="n">
        <x:v>36.34</x:v>
      </x:c>
      <x:c r="G10" s="60" t="n">
        <x:v>41.77</x:v>
      </x:c>
      <x:c r="H10" s="60" t="n">
        <x:v>36.15</x:v>
      </x:c>
      <x:c r="I10" s="60" t="n">
        <x:v>41.56</x:v>
      </x:c>
      <x:c r="J10" s="58" t="str">
        <x:f>IF(OR(NOT(ISNUMBER($B$5)),$B$5&lt;100000),"",ROUND(INDEX(B10:I10,1,IF('ข้อมูลลูกค้า'!$C$8&lt;300000,1,IF('ข้อมูลลูกค้า'!$C$8&lt;500000,3,IF('ข้อมูลลูกค้า'!$C$8&lt;1000000,5,7)))+0)*$B$5/'ข้อมูลลูกค้า'!$C$15,2))</x:f>
      </x:c>
      <x:c r="K10" s="58" t="str">
        <x:f>IF(OR(NOT(ISNUMBER($B$5)),$B$5&lt;100000),"",ROUND(INDEX(B10:I10,1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1" ht="24" customHeight="1">
      <x:c r="A11" s="48" t="n">
        <x:v>22</x:v>
      </x:c>
      <x:c r="B11" s="37" t="n">
        <x:v>38.37</x:v>
      </x:c>
      <x:c r="C11" s="37" t="n">
        <x:v>44.04</x:v>
      </x:c>
      <x:c r="D11" s="37" t="n">
        <x:v>37.99</x:v>
      </x:c>
      <x:c r="E11" s="37" t="n">
        <x:v>43.6</x:v>
      </x:c>
      <x:c r="F11" s="37" t="n">
        <x:v>37.79</x:v>
      </x:c>
      <x:c r="G11" s="37" t="n">
        <x:v>43.38</x:v>
      </x:c>
      <x:c r="H11" s="37" t="n">
        <x:v>37.6</x:v>
      </x:c>
      <x:c r="I11" s="37" t="n">
        <x:v>43.16</x:v>
      </x:c>
      <x:c r="J11" s="58" t="str">
        <x:f>IF(OR(NOT(ISNUMBER($B$5)),$B$5&lt;100000),"",ROUND(INDEX(B11:I11,1,IF('ข้อมูลลูกค้า'!$C$8&lt;300000,1,IF('ข้อมูลลูกค้า'!$C$8&lt;500000,3,IF('ข้อมูลลูกค้า'!$C$8&lt;1000000,5,7)))+0)*$B$5/'ข้อมูลลูกค้า'!$C$15,2))</x:f>
      </x:c>
      <x:c r="K11" s="58" t="str">
        <x:f>IF(OR(NOT(ISNUMBER($B$5)),$B$5&lt;100000),"",ROUND(INDEX(B11:I11,1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2" ht="24" customHeight="1">
      <x:c r="A12" s="59" t="n">
        <x:v>23</x:v>
      </x:c>
      <x:c r="B12" s="60" t="n">
        <x:v>39.94</x:v>
      </x:c>
      <x:c r="C12" s="60" t="n">
        <x:v>45.75</x:v>
      </x:c>
      <x:c r="D12" s="60" t="n">
        <x:v>39.54</x:v>
      </x:c>
      <x:c r="E12" s="60" t="n">
        <x:v>45.29</x:v>
      </x:c>
      <x:c r="F12" s="60" t="n">
        <x:v>39.34</x:v>
      </x:c>
      <x:c r="G12" s="60" t="n">
        <x:v>45.06</x:v>
      </x:c>
      <x:c r="H12" s="60" t="n">
        <x:v>39.14</x:v>
      </x:c>
      <x:c r="I12" s="60" t="n">
        <x:v>44.84</x:v>
      </x:c>
      <x:c r="J12" s="58" t="str">
        <x:f>IF(OR(NOT(ISNUMBER($B$5)),$B$5&lt;100000),"",ROUND(INDEX(B12:I12,1,IF('ข้อมูลลูกค้า'!$C$8&lt;300000,1,IF('ข้อมูลลูกค้า'!$C$8&lt;500000,3,IF('ข้อมูลลูกค้า'!$C$8&lt;1000000,5,7)))+0)*$B$5/'ข้อมูลลูกค้า'!$C$15,2))</x:f>
      </x:c>
      <x:c r="K12" s="58" t="str">
        <x:f>IF(OR(NOT(ISNUMBER($B$5)),$B$5&lt;100000),"",ROUND(INDEX(B12:I12,1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3" ht="24" customHeight="1">
      <x:c r="A13" s="48" t="n">
        <x:v>24</x:v>
      </x:c>
      <x:c r="B13" s="37" t="n">
        <x:v>41.61</x:v>
      </x:c>
      <x:c r="C13" s="37" t="n">
        <x:v>47.56</x:v>
      </x:c>
      <x:c r="D13" s="37" t="n">
        <x:v>41.19</x:v>
      </x:c>
      <x:c r="E13" s="37" t="n">
        <x:v>47.08</x:v>
      </x:c>
      <x:c r="F13" s="37" t="n">
        <x:v>40.99</x:v>
      </x:c>
      <x:c r="G13" s="37" t="n">
        <x:v>46.85</x:v>
      </x:c>
      <x:c r="H13" s="37" t="n">
        <x:v>40.78</x:v>
      </x:c>
      <x:c r="I13" s="37" t="n">
        <x:v>46.61</x:v>
      </x:c>
      <x:c r="J13" s="58" t="str">
        <x:f>IF(OR(NOT(ISNUMBER($B$5)),$B$5&lt;100000),"",ROUND(INDEX(B13:I13,1,IF('ข้อมูลลูกค้า'!$C$8&lt;300000,1,IF('ข้อมูลลูกค้า'!$C$8&lt;500000,3,IF('ข้อมูลลูกค้า'!$C$8&lt;1000000,5,7)))+0)*$B$5/'ข้อมูลลูกค้า'!$C$15,2))</x:f>
      </x:c>
      <x:c r="K13" s="58" t="str">
        <x:f>IF(OR(NOT(ISNUMBER($B$5)),$B$5&lt;100000),"",ROUND(INDEX(B13:I13,1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4" ht="24" customHeight="1">
      <x:c r="A14" s="59" t="n">
        <x:v>25</x:v>
      </x:c>
      <x:c r="B14" s="60" t="n">
        <x:v>43.37</x:v>
      </x:c>
      <x:c r="C14" s="60" t="n">
        <x:v>49.46</x:v>
      </x:c>
      <x:c r="D14" s="60" t="n">
        <x:v>42.94</x:v>
      </x:c>
      <x:c r="E14" s="60" t="n">
        <x:v>48.97</x:v>
      </x:c>
      <x:c r="F14" s="60" t="n">
        <x:v>42.72</x:v>
      </x:c>
      <x:c r="G14" s="60" t="n">
        <x:v>48.72</x:v>
      </x:c>
      <x:c r="H14" s="60" t="n">
        <x:v>42.5</x:v>
      </x:c>
      <x:c r="I14" s="60" t="n">
        <x:v>48.47</x:v>
      </x:c>
      <x:c r="J14" s="58" t="str">
        <x:f>IF(OR(NOT(ISNUMBER($B$5)),$B$5&lt;100000),"",ROUND(INDEX(B14:I14,1,IF('ข้อมูลลูกค้า'!$C$8&lt;300000,1,IF('ข้อมูลลูกค้า'!$C$8&lt;500000,3,IF('ข้อมูลลูกค้า'!$C$8&lt;1000000,5,7)))+0)*$B$5/'ข้อมูลลูกค้า'!$C$15,2))</x:f>
      </x:c>
      <x:c r="K14" s="58" t="str">
        <x:f>IF(OR(NOT(ISNUMBER($B$5)),$B$5&lt;100000),"",ROUND(INDEX(B14:I14,1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5" ht="24" customHeight="1">
      <x:c r="A15" s="48" t="n">
        <x:v>26</x:v>
      </x:c>
      <x:c r="B15" s="37" t="n">
        <x:v>45.24</x:v>
      </x:c>
      <x:c r="C15" s="37" t="n">
        <x:v>51.48</x:v>
      </x:c>
      <x:c r="D15" s="37" t="n">
        <x:v>44.79</x:v>
      </x:c>
      <x:c r="E15" s="37" t="n">
        <x:v>50.97</x:v>
      </x:c>
      <x:c r="F15" s="37" t="n">
        <x:v>44.56</x:v>
      </x:c>
      <x:c r="G15" s="37" t="n">
        <x:v>50.71</x:v>
      </x:c>
      <x:c r="H15" s="37" t="n">
        <x:v>44.34</x:v>
      </x:c>
      <x:c r="I15" s="37" t="n">
        <x:v>50.45</x:v>
      </x:c>
      <x:c r="J15" s="58" t="str">
        <x:f>IF(OR(NOT(ISNUMBER($B$5)),$B$5&lt;100000),"",ROUND(INDEX(B15:I15,1,IF('ข้อมูลลูกค้า'!$C$8&lt;300000,1,IF('ข้อมูลลูกค้า'!$C$8&lt;500000,3,IF('ข้อมูลลูกค้า'!$C$8&lt;1000000,5,7)))+0)*$B$5/'ข้อมูลลูกค้า'!$C$15,2))</x:f>
      </x:c>
      <x:c r="K15" s="58" t="str">
        <x:f>IF(OR(NOT(ISNUMBER($B$5)),$B$5&lt;100000),"",ROUND(INDEX(B15:I15,1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6" ht="24" customHeight="1">
      <x:c r="A16" s="59" t="n">
        <x:v>27</x:v>
      </x:c>
      <x:c r="B16" s="60" t="n">
        <x:v>47.22</x:v>
      </x:c>
      <x:c r="C16" s="60" t="n">
        <x:v>53.63</x:v>
      </x:c>
      <x:c r="D16" s="60" t="n">
        <x:v>46.75</x:v>
      </x:c>
      <x:c r="E16" s="60" t="n">
        <x:v>53.09</x:v>
      </x:c>
      <x:c r="F16" s="60" t="n">
        <x:v>46.51</x:v>
      </x:c>
      <x:c r="G16" s="60" t="n">
        <x:v>52.83</x:v>
      </x:c>
      <x:c r="H16" s="60" t="n">
        <x:v>46.28</x:v>
      </x:c>
      <x:c r="I16" s="60" t="n">
        <x:v>52.56</x:v>
      </x:c>
      <x:c r="J16" s="58" t="str">
        <x:f>IF(OR(NOT(ISNUMBER($B$5)),$B$5&lt;100000),"",ROUND(INDEX(B16:I16,1,IF('ข้อมูลลูกค้า'!$C$8&lt;300000,1,IF('ข้อมูลลูกค้า'!$C$8&lt;500000,3,IF('ข้อมูลลูกค้า'!$C$8&lt;1000000,5,7)))+0)*$B$5/'ข้อมูลลูกค้า'!$C$15,2))</x:f>
      </x:c>
      <x:c r="K16" s="58" t="str">
        <x:f>IF(OR(NOT(ISNUMBER($B$5)),$B$5&lt;100000),"",ROUND(INDEX(B16:I16,1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7" ht="24" customHeight="1">
      <x:c r="A17" s="48" t="n">
        <x:v>28</x:v>
      </x:c>
      <x:c r="B17" s="37" t="n">
        <x:v>49.31</x:v>
      </x:c>
      <x:c r="C17" s="37" t="n">
        <x:v>55.91</x:v>
      </x:c>
      <x:c r="D17" s="37" t="n">
        <x:v>48.82</x:v>
      </x:c>
      <x:c r="E17" s="37" t="n">
        <x:v>55.35</x:v>
      </x:c>
      <x:c r="F17" s="37" t="n">
        <x:v>48.57</x:v>
      </x:c>
      <x:c r="G17" s="37" t="n">
        <x:v>55.07</x:v>
      </x:c>
      <x:c r="H17" s="37" t="n">
        <x:v>48.32</x:v>
      </x:c>
      <x:c r="I17" s="37" t="n">
        <x:v>54.79</x:v>
      </x:c>
      <x:c r="J17" s="58" t="str">
        <x:f>IF(OR(NOT(ISNUMBER($B$5)),$B$5&lt;100000),"",ROUND(INDEX(B17:I17,1,IF('ข้อมูลลูกค้า'!$C$8&lt;300000,1,IF('ข้อมูลลูกค้า'!$C$8&lt;500000,3,IF('ข้อมูลลูกค้า'!$C$8&lt;1000000,5,7)))+0)*$B$5/'ข้อมูลลูกค้า'!$C$15,2))</x:f>
      </x:c>
      <x:c r="K17" s="58" t="str">
        <x:f>IF(OR(NOT(ISNUMBER($B$5)),$B$5&lt;100000),"",ROUND(INDEX(B17:I17,1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8" ht="24" customHeight="1">
      <x:c r="A18" s="59" t="n">
        <x:v>29</x:v>
      </x:c>
      <x:c r="B18" s="60" t="n">
        <x:v>51.57</x:v>
      </x:c>
      <x:c r="C18" s="60" t="n">
        <x:v>58.34</x:v>
      </x:c>
      <x:c r="D18" s="60" t="n">
        <x:v>51.05</x:v>
      </x:c>
      <x:c r="E18" s="60" t="n">
        <x:v>57.76</x:v>
      </x:c>
      <x:c r="F18" s="60" t="n">
        <x:v>50.8</x:v>
      </x:c>
      <x:c r="G18" s="60" t="n">
        <x:v>57.46</x:v>
      </x:c>
      <x:c r="H18" s="60" t="n">
        <x:v>50.54</x:v>
      </x:c>
      <x:c r="I18" s="60" t="n">
        <x:v>57.17</x:v>
      </x:c>
      <x:c r="J18" s="58" t="str">
        <x:f>IF(OR(NOT(ISNUMBER($B$5)),$B$5&lt;100000),"",ROUND(INDEX(B18:I18,1,IF('ข้อมูลลูกค้า'!$C$8&lt;300000,1,IF('ข้อมูลลูกค้า'!$C$8&lt;500000,3,IF('ข้อมูลลูกค้า'!$C$8&lt;1000000,5,7)))+0)*$B$5/'ข้อมูลลูกค้า'!$C$15,2))</x:f>
      </x:c>
      <x:c r="K18" s="58" t="str">
        <x:f>IF(OR(NOT(ISNUMBER($B$5)),$B$5&lt;100000),"",ROUND(INDEX(B18:I18,1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19" ht="24" customHeight="1">
      <x:c r="A19" s="48" t="n">
        <x:v>30</x:v>
      </x:c>
      <x:c r="B19" s="37" t="n">
        <x:v>53.97</x:v>
      </x:c>
      <x:c r="C19" s="37" t="n">
        <x:v>60.91</x:v>
      </x:c>
      <x:c r="D19" s="37" t="n">
        <x:v>53.43</x:v>
      </x:c>
      <x:c r="E19" s="37" t="n">
        <x:v>60.3</x:v>
      </x:c>
      <x:c r="F19" s="37" t="n">
        <x:v>53.16</x:v>
      </x:c>
      <x:c r="G19" s="37" t="n">
        <x:v>60</x:v>
      </x:c>
      <x:c r="H19" s="37" t="n">
        <x:v>52.89</x:v>
      </x:c>
      <x:c r="I19" s="37" t="n">
        <x:v>59.69</x:v>
      </x:c>
      <x:c r="J19" s="58" t="str">
        <x:f>IF(OR(NOT(ISNUMBER($B$5)),$B$5&lt;100000),"",ROUND(INDEX(B19:I19,1,IF('ข้อมูลลูกค้า'!$C$8&lt;300000,1,IF('ข้อมูลลูกค้า'!$C$8&lt;500000,3,IF('ข้อมูลลูกค้า'!$C$8&lt;1000000,5,7)))+0)*$B$5/'ข้อมูลลูกค้า'!$C$15,2))</x:f>
      </x:c>
      <x:c r="K19" s="58" t="str">
        <x:f>IF(OR(NOT(ISNUMBER($B$5)),$B$5&lt;100000),"",ROUND(INDEX(B19:I19,1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0" ht="24" customHeight="1">
      <x:c r="A20" s="59" t="n">
        <x:v>31</x:v>
      </x:c>
      <x:c r="B20" s="60" t="n">
        <x:v>56.54</x:v>
      </x:c>
      <x:c r="C20" s="60" t="n">
        <x:v>63.65</x:v>
      </x:c>
      <x:c r="D20" s="60" t="n">
        <x:v>55.97</x:v>
      </x:c>
      <x:c r="E20" s="60" t="n">
        <x:v>63.01</x:v>
      </x:c>
      <x:c r="F20" s="60" t="n">
        <x:v>55.69</x:v>
      </x:c>
      <x:c r="G20" s="60" t="n">
        <x:v>62.7</x:v>
      </x:c>
      <x:c r="H20" s="60" t="n">
        <x:v>55.41</x:v>
      </x:c>
      <x:c r="I20" s="60" t="n">
        <x:v>62.38</x:v>
      </x:c>
      <x:c r="J20" s="58" t="str">
        <x:f>IF(OR(NOT(ISNUMBER($B$5)),$B$5&lt;100000),"",ROUND(INDEX(B20:I20,1,IF('ข้อมูลลูกค้า'!$C$8&lt;300000,1,IF('ข้อมูลลูกค้า'!$C$8&lt;500000,3,IF('ข้อมูลลูกค้า'!$C$8&lt;1000000,5,7)))+0)*$B$5/'ข้อมูลลูกค้า'!$C$15,2))</x:f>
      </x:c>
      <x:c r="K20" s="58" t="str">
        <x:f>IF(OR(NOT(ISNUMBER($B$5)),$B$5&lt;100000),"",ROUND(INDEX(B20:I20,1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1" ht="24" customHeight="1">
      <x:c r="A21" s="48" t="n">
        <x:v>32</x:v>
      </x:c>
      <x:c r="B21" s="37" t="n">
        <x:v>59.28</x:v>
      </x:c>
      <x:c r="C21" s="37" t="n">
        <x:v>66.59</x:v>
      </x:c>
      <x:c r="D21" s="37" t="n">
        <x:v>58.69</x:v>
      </x:c>
      <x:c r="E21" s="37" t="n">
        <x:v>65.92</x:v>
      </x:c>
      <x:c r="F21" s="37" t="n">
        <x:v>58.39</x:v>
      </x:c>
      <x:c r="G21" s="37" t="n">
        <x:v>65.59</x:v>
      </x:c>
      <x:c r="H21" s="37" t="n">
        <x:v>58.09</x:v>
      </x:c>
      <x:c r="I21" s="37" t="n">
        <x:v>65.26</x:v>
      </x:c>
      <x:c r="J21" s="58" t="str">
        <x:f>IF(OR(NOT(ISNUMBER($B$5)),$B$5&lt;100000),"",ROUND(INDEX(B21:I21,1,IF('ข้อมูลลูกค้า'!$C$8&lt;300000,1,IF('ข้อมูลลูกค้า'!$C$8&lt;500000,3,IF('ข้อมูลลูกค้า'!$C$8&lt;1000000,5,7)))+0)*$B$5/'ข้อมูลลูกค้า'!$C$15,2))</x:f>
      </x:c>
      <x:c r="K21" s="58" t="str">
        <x:f>IF(OR(NOT(ISNUMBER($B$5)),$B$5&lt;100000),"",ROUND(INDEX(B21:I21,1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2" ht="24" customHeight="1">
      <x:c r="A22" s="59" t="n">
        <x:v>33</x:v>
      </x:c>
      <x:c r="B22" s="60" t="n">
        <x:v>62.21</x:v>
      </x:c>
      <x:c r="C22" s="60" t="n">
        <x:v>69.75</x:v>
      </x:c>
      <x:c r="D22" s="60" t="n">
        <x:v>61.59</x:v>
      </x:c>
      <x:c r="E22" s="60" t="n">
        <x:v>69.05</x:v>
      </x:c>
      <x:c r="F22" s="60" t="n">
        <x:v>61.28</x:v>
      </x:c>
      <x:c r="G22" s="60" t="n">
        <x:v>68.7</x:v>
      </x:c>
      <x:c r="H22" s="60" t="n">
        <x:v>60.97</x:v>
      </x:c>
      <x:c r="I22" s="60" t="n">
        <x:v>68.36</x:v>
      </x:c>
      <x:c r="J22" s="58" t="str">
        <x:f>IF(OR(NOT(ISNUMBER($B$5)),$B$5&lt;100000),"",ROUND(INDEX(B22:I22,1,IF('ข้อมูลลูกค้า'!$C$8&lt;300000,1,IF('ข้อมูลลูกค้า'!$C$8&lt;500000,3,IF('ข้อมูลลูกค้า'!$C$8&lt;1000000,5,7)))+0)*$B$5/'ข้อมูลลูกค้า'!$C$15,2))</x:f>
      </x:c>
      <x:c r="K22" s="58" t="str">
        <x:f>IF(OR(NOT(ISNUMBER($B$5)),$B$5&lt;100000),"",ROUND(INDEX(B22:I22,1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3" ht="24" customHeight="1">
      <x:c r="A23" s="48" t="n">
        <x:v>34</x:v>
      </x:c>
      <x:c r="B23" s="37" t="n">
        <x:v>65.38</x:v>
      </x:c>
      <x:c r="C23" s="37" t="n">
        <x:v>73.13</x:v>
      </x:c>
      <x:c r="D23" s="37" t="n">
        <x:v>64.73</x:v>
      </x:c>
      <x:c r="E23" s="37" t="n">
        <x:v>72.4</x:v>
      </x:c>
      <x:c r="F23" s="37" t="n">
        <x:v>64.4</x:v>
      </x:c>
      <x:c r="G23" s="37" t="n">
        <x:v>72.03</x:v>
      </x:c>
      <x:c r="H23" s="37" t="n">
        <x:v>64.07</x:v>
      </x:c>
      <x:c r="I23" s="37" t="n">
        <x:v>71.67</x:v>
      </x:c>
      <x:c r="J23" s="58" t="str">
        <x:f>IF(OR(NOT(ISNUMBER($B$5)),$B$5&lt;100000),"",ROUND(INDEX(B23:I23,1,IF('ข้อมูลลูกค้า'!$C$8&lt;300000,1,IF('ข้อมูลลูกค้า'!$C$8&lt;500000,3,IF('ข้อมูลลูกค้า'!$C$8&lt;1000000,5,7)))+0)*$B$5/'ข้อมูลลูกค้า'!$C$15,2))</x:f>
      </x:c>
      <x:c r="K23" s="58" t="str">
        <x:f>IF(OR(NOT(ISNUMBER($B$5)),$B$5&lt;100000),"",ROUND(INDEX(B23:I23,1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4" ht="24" customHeight="1">
      <x:c r="A24" s="59" t="n">
        <x:v>35</x:v>
      </x:c>
      <x:c r="B24" s="60" t="n">
        <x:v>68.79</x:v>
      </x:c>
      <x:c r="C24" s="60" t="n">
        <x:v>76.76</x:v>
      </x:c>
      <x:c r="D24" s="60" t="n">
        <x:v>68.1</x:v>
      </x:c>
      <x:c r="E24" s="60" t="n">
        <x:v>75.99</x:v>
      </x:c>
      <x:c r="F24" s="60" t="n">
        <x:v>67.76</x:v>
      </x:c>
      <x:c r="G24" s="60" t="n">
        <x:v>75.61</x:v>
      </x:c>
      <x:c r="H24" s="60" t="n">
        <x:v>67.41</x:v>
      </x:c>
      <x:c r="I24" s="60" t="n">
        <x:v>75.22</x:v>
      </x:c>
      <x:c r="J24" s="58" t="str">
        <x:f>IF(OR(NOT(ISNUMBER($B$5)),$B$5&lt;100000),"",ROUND(INDEX(B24:I24,1,IF('ข้อมูลลูกค้า'!$C$8&lt;300000,1,IF('ข้อมูลลูกค้า'!$C$8&lt;500000,3,IF('ข้อมูลลูกค้า'!$C$8&lt;1000000,5,7)))+0)*$B$5/'ข้อมูลลูกค้า'!$C$15,2))</x:f>
      </x:c>
      <x:c r="K24" s="58" t="str">
        <x:f>IF(OR(NOT(ISNUMBER($B$5)),$B$5&lt;100000),"",ROUND(INDEX(B24:I24,1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5" ht="24" customHeight="1">
      <x:c r="A25" s="48" t="n">
        <x:v>36</x:v>
      </x:c>
      <x:c r="B25" s="37" t="n">
        <x:v>72.48</x:v>
      </x:c>
      <x:c r="C25" s="37" t="n">
        <x:v>80.65</x:v>
      </x:c>
      <x:c r="D25" s="37" t="n">
        <x:v>71.76</x:v>
      </x:c>
      <x:c r="E25" s="37" t="n">
        <x:v>79.84</x:v>
      </x:c>
      <x:c r="F25" s="37" t="n">
        <x:v>71.39</x:v>
      </x:c>
      <x:c r="G25" s="37" t="n">
        <x:v>79.44</x:v>
      </x:c>
      <x:c r="H25" s="37" t="n">
        <x:v>71.03</x:v>
      </x:c>
      <x:c r="I25" s="37" t="n">
        <x:v>79.04</x:v>
      </x:c>
      <x:c r="J25" s="58" t="str">
        <x:f>IF(OR(NOT(ISNUMBER($B$5)),$B$5&lt;100000),"",ROUND(INDEX(B25:I25,1,IF('ข้อมูลลูกค้า'!$C$8&lt;300000,1,IF('ข้อมูลลูกค้า'!$C$8&lt;500000,3,IF('ข้อมูลลูกค้า'!$C$8&lt;1000000,5,7)))+0)*$B$5/'ข้อมูลลูกค้า'!$C$15,2))</x:f>
      </x:c>
      <x:c r="K25" s="58" t="str">
        <x:f>IF(OR(NOT(ISNUMBER($B$5)),$B$5&lt;100000),"",ROUND(INDEX(B25:I25,1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6" ht="24" customHeight="1">
      <x:c r="A26" s="59" t="n">
        <x:v>37</x:v>
      </x:c>
      <x:c r="B26" s="60" t="n">
        <x:v>76.46</x:v>
      </x:c>
      <x:c r="C26" s="60" t="n">
        <x:v>84.86</x:v>
      </x:c>
      <x:c r="D26" s="60" t="n">
        <x:v>75.7</x:v>
      </x:c>
      <x:c r="E26" s="60" t="n">
        <x:v>84.01</x:v>
      </x:c>
      <x:c r="F26" s="60" t="n">
        <x:v>75.31</x:v>
      </x:c>
      <x:c r="G26" s="60" t="n">
        <x:v>83.59</x:v>
      </x:c>
      <x:c r="H26" s="60" t="n">
        <x:v>74.93</x:v>
      </x:c>
      <x:c r="I26" s="60" t="n">
        <x:v>83.16</x:v>
      </x:c>
      <x:c r="J26" s="58" t="str">
        <x:f>IF(OR(NOT(ISNUMBER($B$5)),$B$5&lt;100000),"",ROUND(INDEX(B26:I26,1,IF('ข้อมูลลูกค้า'!$C$8&lt;300000,1,IF('ข้อมูลลูกค้า'!$C$8&lt;500000,3,IF('ข้อมูลลูกค้า'!$C$8&lt;1000000,5,7)))+0)*$B$5/'ข้อมูลลูกค้า'!$C$15,2))</x:f>
      </x:c>
      <x:c r="K26" s="58" t="str">
        <x:f>IF(OR(NOT(ISNUMBER($B$5)),$B$5&lt;100000),"",ROUND(INDEX(B26:I26,1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7" ht="24" customHeight="1">
      <x:c r="A27" s="48" t="n">
        <x:v>38</x:v>
      </x:c>
      <x:c r="B27" s="37" t="n">
        <x:v>80.77</x:v>
      </x:c>
      <x:c r="C27" s="37" t="n">
        <x:v>89.45</x:v>
      </x:c>
      <x:c r="D27" s="37" t="n">
        <x:v>79.96</x:v>
      </x:c>
      <x:c r="E27" s="37" t="n">
        <x:v>88.56</x:v>
      </x:c>
      <x:c r="F27" s="37" t="n">
        <x:v>79.56</x:v>
      </x:c>
      <x:c r="G27" s="37" t="n">
        <x:v>88.11</x:v>
      </x:c>
      <x:c r="H27" s="37" t="n">
        <x:v>79.15</x:v>
      </x:c>
      <x:c r="I27" s="37" t="n">
        <x:v>87.66</x:v>
      </x:c>
      <x:c r="J27" s="58" t="str">
        <x:f>IF(OR(NOT(ISNUMBER($B$5)),$B$5&lt;100000),"",ROUND(INDEX(B27:I27,1,IF('ข้อมูลลูกค้า'!$C$8&lt;300000,1,IF('ข้อมูลลูกค้า'!$C$8&lt;500000,3,IF('ข้อมูลลูกค้า'!$C$8&lt;1000000,5,7)))+0)*$B$5/'ข้อมูลลูกค้า'!$C$15,2))</x:f>
      </x:c>
      <x:c r="K27" s="58" t="str">
        <x:f>IF(OR(NOT(ISNUMBER($B$5)),$B$5&lt;100000),"",ROUND(INDEX(B27:I27,1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8" ht="24" customHeight="1">
      <x:c r="A28" s="59" t="n">
        <x:v>39</x:v>
      </x:c>
      <x:c r="B28" s="60" t="n">
        <x:v>85.49</x:v>
      </x:c>
      <x:c r="C28" s="60" t="n">
        <x:v>94.41</x:v>
      </x:c>
      <x:c r="D28" s="60" t="n">
        <x:v>84.64</x:v>
      </x:c>
      <x:c r="E28" s="60" t="n">
        <x:v>93.47</x:v>
      </x:c>
      <x:c r="F28" s="60" t="n">
        <x:v>84.21</x:v>
      </x:c>
      <x:c r="G28" s="60" t="n">
        <x:v>92.99</x:v>
      </x:c>
      <x:c r="H28" s="60" t="n">
        <x:v>83.78</x:v>
      </x:c>
      <x:c r="I28" s="60" t="n">
        <x:v>92.52</x:v>
      </x:c>
      <x:c r="J28" s="58" t="str">
        <x:f>IF(OR(NOT(ISNUMBER($B$5)),$B$5&lt;100000),"",ROUND(INDEX(B28:I28,1,IF('ข้อมูลลูกค้า'!$C$8&lt;300000,1,IF('ข้อมูลลูกค้า'!$C$8&lt;500000,3,IF('ข้อมูลลูกค้า'!$C$8&lt;1000000,5,7)))+0)*$B$5/'ข้อมูลลูกค้า'!$C$15,2))</x:f>
      </x:c>
      <x:c r="K28" s="58" t="str">
        <x:f>IF(OR(NOT(ISNUMBER($B$5)),$B$5&lt;100000),"",ROUND(INDEX(B28:I28,1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29" ht="24" customHeight="1">
      <x:c r="A29" s="48" t="n">
        <x:v>40</x:v>
      </x:c>
      <x:c r="B29" s="37" t="n">
        <x:v>90.64</x:v>
      </x:c>
      <x:c r="C29" s="37" t="n">
        <x:v>99.81</x:v>
      </x:c>
      <x:c r="D29" s="37" t="n">
        <x:v>89.73</x:v>
      </x:c>
      <x:c r="E29" s="37" t="n">
        <x:v>98.81</x:v>
      </x:c>
      <x:c r="F29" s="37" t="n">
        <x:v>89.28</x:v>
      </x:c>
      <x:c r="G29" s="37" t="n">
        <x:v>98.31</x:v>
      </x:c>
      <x:c r="H29" s="37" t="n">
        <x:v>88.83</x:v>
      </x:c>
      <x:c r="I29" s="37" t="n">
        <x:v>97.81</x:v>
      </x:c>
      <x:c r="J29" s="58" t="str">
        <x:f>IF(OR(NOT(ISNUMBER($B$5)),$B$5&lt;100000),"",ROUND(INDEX(B29:I29,1,IF('ข้อมูลลูกค้า'!$C$8&lt;300000,1,IF('ข้อมูลลูกค้า'!$C$8&lt;500000,3,IF('ข้อมูลลูกค้า'!$C$8&lt;1000000,5,7)))+0)*$B$5/'ข้อมูลลูกค้า'!$C$15,2))</x:f>
      </x:c>
      <x:c r="K29" s="58" t="str">
        <x:f>IF(OR(NOT(ISNUMBER($B$5)),$B$5&lt;100000),"",ROUND(INDEX(B29:I29,1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0" ht="24" customHeight="1">
      <x:c r="A30" s="59" t="n">
        <x:v>41</x:v>
      </x:c>
      <x:c r="B30" s="60" t="n">
        <x:v>96.28</x:v>
      </x:c>
      <x:c r="C30" s="60" t="n">
        <x:v>105.7</x:v>
      </x:c>
      <x:c r="D30" s="60" t="n">
        <x:v>95.32</x:v>
      </x:c>
      <x:c r="E30" s="60" t="n">
        <x:v>104.64</x:v>
      </x:c>
      <x:c r="F30" s="60" t="n">
        <x:v>94.84</x:v>
      </x:c>
      <x:c r="G30" s="60" t="n">
        <x:v>104.11</x:v>
      </x:c>
      <x:c r="H30" s="60" t="n">
        <x:v>94.35</x:v>
      </x:c>
      <x:c r="I30" s="60" t="n">
        <x:v>103.59</x:v>
      </x:c>
      <x:c r="J30" s="58" t="str">
        <x:f>IF(OR(NOT(ISNUMBER($B$5)),$B$5&lt;100000),"",ROUND(INDEX(B30:I30,1,IF('ข้อมูลลูกค้า'!$C$8&lt;300000,1,IF('ข้อมูลลูกค้า'!$C$8&lt;500000,3,IF('ข้อมูลลูกค้า'!$C$8&lt;1000000,5,7)))+0)*$B$5/'ข้อมูลลูกค้า'!$C$15,2))</x:f>
      </x:c>
      <x:c r="K30" s="58" t="str">
        <x:f>IF(OR(NOT(ISNUMBER($B$5)),$B$5&lt;100000),"",ROUND(INDEX(B30:I30,1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1" ht="24" customHeight="1">
      <x:c r="A31" s="48" t="n">
        <x:v>42</x:v>
      </x:c>
      <x:c r="B31" s="37" t="n">
        <x:v>102.44</x:v>
      </x:c>
      <x:c r="C31" s="37" t="n">
        <x:v>112.13</x:v>
      </x:c>
      <x:c r="D31" s="37" t="n">
        <x:v>101.42</x:v>
      </x:c>
      <x:c r="E31" s="37" t="n">
        <x:v>111.01</x:v>
      </x:c>
      <x:c r="F31" s="37" t="n">
        <x:v>100.9</x:v>
      </x:c>
      <x:c r="G31" s="37" t="n">
        <x:v>110.45</x:v>
      </x:c>
      <x:c r="H31" s="37" t="n">
        <x:v>100.39</x:v>
      </x:c>
      <x:c r="I31" s="37" t="n">
        <x:v>109.89</x:v>
      </x:c>
      <x:c r="J31" s="58" t="str">
        <x:f>IF(OR(NOT(ISNUMBER($B$5)),$B$5&lt;100000),"",ROUND(INDEX(B31:I31,1,IF('ข้อมูลลูกค้า'!$C$8&lt;300000,1,IF('ข้อมูลลูกค้า'!$C$8&lt;500000,3,IF('ข้อมูลลูกค้า'!$C$8&lt;1000000,5,7)))+0)*$B$5/'ข้อมูลลูกค้า'!$C$15,2))</x:f>
      </x:c>
      <x:c r="K31" s="58" t="str">
        <x:f>IF(OR(NOT(ISNUMBER($B$5)),$B$5&lt;100000),"",ROUND(INDEX(B31:I31,1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2" ht="24" customHeight="1">
      <x:c r="A32" s="59" t="n">
        <x:v>43</x:v>
      </x:c>
      <x:c r="B32" s="60" t="n">
        <x:v>109.3</x:v>
      </x:c>
      <x:c r="C32" s="60" t="n">
        <x:v>119.26</x:v>
      </x:c>
      <x:c r="D32" s="60" t="n">
        <x:v>108.21</x:v>
      </x:c>
      <x:c r="E32" s="60" t="n">
        <x:v>118.07</x:v>
      </x:c>
      <x:c r="F32" s="60" t="n">
        <x:v>107.66</x:v>
      </x:c>
      <x:c r="G32" s="60" t="n">
        <x:v>117.47</x:v>
      </x:c>
      <x:c r="H32" s="60" t="n">
        <x:v>107.11</x:v>
      </x:c>
      <x:c r="I32" s="60" t="n">
        <x:v>116.87</x:v>
      </x:c>
      <x:c r="J32" s="58" t="str">
        <x:f>IF(OR(NOT(ISNUMBER($B$5)),$B$5&lt;100000),"",ROUND(INDEX(B32:I32,1,IF('ข้อมูลลูกค้า'!$C$8&lt;300000,1,IF('ข้อมูลลูกค้า'!$C$8&lt;500000,3,IF('ข้อมูลลูกค้า'!$C$8&lt;1000000,5,7)))+0)*$B$5/'ข้อมูลลูกค้า'!$C$15,2))</x:f>
      </x:c>
      <x:c r="K32" s="58" t="str">
        <x:f>IF(OR(NOT(ISNUMBER($B$5)),$B$5&lt;100000),"",ROUND(INDEX(B32:I32,1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3" ht="24" customHeight="1">
      <x:c r="A33" s="48" t="n">
        <x:v>44</x:v>
      </x:c>
      <x:c r="B33" s="37" t="n">
        <x:v>116.88</x:v>
      </x:c>
      <x:c r="C33" s="37" t="n">
        <x:v>127.13</x:v>
      </x:c>
      <x:c r="D33" s="37" t="n">
        <x:v>115.71</x:v>
      </x:c>
      <x:c r="E33" s="37" t="n">
        <x:v>125.86</x:v>
      </x:c>
      <x:c r="F33" s="37" t="n">
        <x:v>115.13</x:v>
      </x:c>
      <x:c r="G33" s="37" t="n">
        <x:v>125.22</x:v>
      </x:c>
      <x:c r="H33" s="37" t="n">
        <x:v>114.54</x:v>
      </x:c>
      <x:c r="I33" s="37" t="n">
        <x:v>124.59</x:v>
      </x:c>
      <x:c r="J33" s="58" t="str">
        <x:f>IF(OR(NOT(ISNUMBER($B$5)),$B$5&lt;100000),"",ROUND(INDEX(B33:I33,1,IF('ข้อมูลลูกค้า'!$C$8&lt;300000,1,IF('ข้อมูลลูกค้า'!$C$8&lt;500000,3,IF('ข้อมูลลูกค้า'!$C$8&lt;1000000,5,7)))+0)*$B$5/'ข้อมูลลูกค้า'!$C$15,2))</x:f>
      </x:c>
      <x:c r="K33" s="58" t="str">
        <x:f>IF(OR(NOT(ISNUMBER($B$5)),$B$5&lt;100000),"",ROUND(INDEX(B33:I33,1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4" ht="24" customHeight="1">
      <x:c r="A34" s="59" t="n">
        <x:v>45</x:v>
      </x:c>
      <x:c r="B34" s="60" t="n">
        <x:v>125.31</x:v>
      </x:c>
      <x:c r="C34" s="60" t="n">
        <x:v>135.84</x:v>
      </x:c>
      <x:c r="D34" s="60" t="n">
        <x:v>124.06</x:v>
      </x:c>
      <x:c r="E34" s="60" t="n">
        <x:v>134.48</x:v>
      </x:c>
      <x:c r="F34" s="60" t="n">
        <x:v>123.43</x:v>
      </x:c>
      <x:c r="G34" s="60" t="n">
        <x:v>133.8</x:v>
      </x:c>
      <x:c r="H34" s="60" t="n">
        <x:v>122.8</x:v>
      </x:c>
      <x:c r="I34" s="60" t="n">
        <x:v>133.12</x:v>
      </x:c>
      <x:c r="J34" s="58" t="str">
        <x:f>IF(OR(NOT(ISNUMBER($B$5)),$B$5&lt;100000),"",ROUND(INDEX(B34:I34,1,IF('ข้อมูลลูกค้า'!$C$8&lt;300000,1,IF('ข้อมูลลูกค้า'!$C$8&lt;500000,3,IF('ข้อมูลลูกค้า'!$C$8&lt;1000000,5,7)))+0)*$B$5/'ข้อมูลลูกค้า'!$C$15,2))</x:f>
      </x:c>
      <x:c r="K34" s="58" t="str">
        <x:f>IF(OR(NOT(ISNUMBER($B$5)),$B$5&lt;100000),"",ROUND(INDEX(B34:I34,1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5" ht="24" customHeight="1">
      <x:c r="A35" s="48" t="n">
        <x:v>46</x:v>
      </x:c>
      <x:c r="B35" s="37" t="n">
        <x:v>134.72</x:v>
      </x:c>
      <x:c r="C35" s="37" t="n">
        <x:v>145.52</x:v>
      </x:c>
      <x:c r="D35" s="37" t="n">
        <x:v>133.37</x:v>
      </x:c>
      <x:c r="E35" s="37" t="n">
        <x:v>144.06</x:v>
      </x:c>
      <x:c r="F35" s="37" t="n">
        <x:v>132.7</x:v>
      </x:c>
      <x:c r="G35" s="37" t="n">
        <x:v>143.34</x:v>
      </x:c>
      <x:c r="H35" s="37" t="n">
        <x:v>132.03</x:v>
      </x:c>
      <x:c r="I35" s="37" t="n">
        <x:v>142.61</x:v>
      </x:c>
      <x:c r="J35" s="58" t="str">
        <x:f>IF(OR(NOT(ISNUMBER($B$5)),$B$5&lt;100000),"",ROUND(INDEX(B35:I35,1,IF('ข้อมูลลูกค้า'!$C$8&lt;300000,1,IF('ข้อมูลลูกค้า'!$C$8&lt;500000,3,IF('ข้อมูลลูกค้า'!$C$8&lt;1000000,5,7)))+0)*$B$5/'ข้อมูลลูกค้า'!$C$15,2))</x:f>
      </x:c>
      <x:c r="K35" s="58" t="str">
        <x:f>IF(OR(NOT(ISNUMBER($B$5)),$B$5&lt;100000),"",ROUND(INDEX(B35:I35,1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6" ht="24" customHeight="1">
      <x:c r="A36" s="59" t="n">
        <x:v>47</x:v>
      </x:c>
      <x:c r="B36" s="60" t="n">
        <x:v>145.34</x:v>
      </x:c>
      <x:c r="C36" s="60" t="n">
        <x:v>156.43</x:v>
      </x:c>
      <x:c r="D36" s="60" t="n">
        <x:v>143.89</x:v>
      </x:c>
      <x:c r="E36" s="60" t="n">
        <x:v>154.87</x:v>
      </x:c>
      <x:c r="F36" s="60" t="n">
        <x:v>143.16</x:v>
      </x:c>
      <x:c r="G36" s="60" t="n">
        <x:v>154.08</x:v>
      </x:c>
      <x:c r="H36" s="60" t="n">
        <x:v>142.43</x:v>
      </x:c>
      <x:c r="I36" s="60" t="n">
        <x:v>153.3</x:v>
      </x:c>
      <x:c r="J36" s="58" t="str">
        <x:f>IF(OR(NOT(ISNUMBER($B$5)),$B$5&lt;100000),"",ROUND(INDEX(B36:I36,1,IF('ข้อมูลลูกค้า'!$C$8&lt;300000,1,IF('ข้อมูลลูกค้า'!$C$8&lt;500000,3,IF('ข้อมูลลูกค้า'!$C$8&lt;1000000,5,7)))+0)*$B$5/'ข้อมูลลูกค้า'!$C$15,2))</x:f>
      </x:c>
      <x:c r="K36" s="58" t="str">
        <x:f>IF(OR(NOT(ISNUMBER($B$5)),$B$5&lt;100000),"",ROUND(INDEX(B36:I36,1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7" ht="24" customHeight="1">
      <x:c r="A37" s="48" t="n">
        <x:v>48</x:v>
      </x:c>
      <x:c r="B37" s="37" t="n">
        <x:v>157.42</x:v>
      </x:c>
      <x:c r="C37" s="37" t="n">
        <x:v>168.77</x:v>
      </x:c>
      <x:c r="D37" s="37" t="n">
        <x:v>155.85</x:v>
      </x:c>
      <x:c r="E37" s="37" t="n">
        <x:v>167.08</x:v>
      </x:c>
      <x:c r="F37" s="37" t="n">
        <x:v>155.06</x:v>
      </x:c>
      <x:c r="G37" s="37" t="n">
        <x:v>166.24</x:v>
      </x:c>
      <x:c r="H37" s="37" t="n">
        <x:v>154.27</x:v>
      </x:c>
      <x:c r="I37" s="37" t="n">
        <x:v>165.39</x:v>
      </x:c>
      <x:c r="J37" s="58" t="str">
        <x:f>IF(OR(NOT(ISNUMBER($B$5)),$B$5&lt;100000),"",ROUND(INDEX(B37:I37,1,IF('ข้อมูลลูกค้า'!$C$8&lt;300000,1,IF('ข้อมูลลูกค้า'!$C$8&lt;500000,3,IF('ข้อมูลลูกค้า'!$C$8&lt;1000000,5,7)))+0)*$B$5/'ข้อมูลลูกค้า'!$C$15,2))</x:f>
      </x:c>
      <x:c r="K37" s="58" t="str">
        <x:f>IF(OR(NOT(ISNUMBER($B$5)),$B$5&lt;100000),"",ROUND(INDEX(B37:I37,1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8" ht="24" customHeight="1">
      <x:c r="A38" s="59" t="n">
        <x:v>49</x:v>
      </x:c>
      <x:c r="B38" s="60" t="n">
        <x:v>171.13</x:v>
      </x:c>
      <x:c r="C38" s="60" t="n">
        <x:v>182.76</x:v>
      </x:c>
      <x:c r="D38" s="60" t="n">
        <x:v>169.42</x:v>
      </x:c>
      <x:c r="E38" s="60" t="n">
        <x:v>180.93</x:v>
      </x:c>
      <x:c r="F38" s="60" t="n">
        <x:v>168.56</x:v>
      </x:c>
      <x:c r="G38" s="60" t="n">
        <x:v>180.02</x:v>
      </x:c>
      <x:c r="H38" s="60" t="n">
        <x:v>167.71</x:v>
      </x:c>
      <x:c r="I38" s="60" t="n">
        <x:v>179.1</x:v>
      </x:c>
      <x:c r="J38" s="58" t="str">
        <x:f>IF(OR(NOT(ISNUMBER($B$5)),$B$5&lt;100000),"",ROUND(INDEX(B38:I38,1,IF('ข้อมูลลูกค้า'!$C$8&lt;300000,1,IF('ข้อมูลลูกค้า'!$C$8&lt;500000,3,IF('ข้อมูลลูกค้า'!$C$8&lt;1000000,5,7)))+0)*$B$5/'ข้อมูลลูกค้า'!$C$15,2))</x:f>
      </x:c>
      <x:c r="K38" s="58" t="str">
        <x:f>IF(OR(NOT(ISNUMBER($B$5)),$B$5&lt;100000),"",ROUND(INDEX(B38:I38,1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39" ht="24" customHeight="1">
      <x:c r="A39" s="48" t="n">
        <x:v>50</x:v>
      </x:c>
      <x:c r="B39" s="37" t="n">
        <x:v>186.87</x:v>
      </x:c>
      <x:c r="C39" s="37" t="n">
        <x:v>198.74</x:v>
      </x:c>
      <x:c r="D39" s="37" t="n">
        <x:v>185</x:v>
      </x:c>
      <x:c r="E39" s="37" t="n">
        <x:v>196.75</x:v>
      </x:c>
      <x:c r="F39" s="37" t="n">
        <x:v>184.07</x:v>
      </x:c>
      <x:c r="G39" s="37" t="n">
        <x:v>195.76</x:v>
      </x:c>
      <x:c r="H39" s="37" t="n">
        <x:v>183.13</x:v>
      </x:c>
      <x:c r="I39" s="37" t="n">
        <x:v>194.77</x:v>
      </x:c>
      <x:c r="J39" s="58" t="str">
        <x:f>IF(OR(NOT(ISNUMBER($B$5)),$B$5&lt;100000),"",ROUND(INDEX(B39:I39,1,IF('ข้อมูลลูกค้า'!$C$8&lt;300000,1,IF('ข้อมูลลูกค้า'!$C$8&lt;500000,3,IF('ข้อมูลลูกค้า'!$C$8&lt;1000000,5,7)))+0)*$B$5/'ข้อมูลลูกค้า'!$C$15,2))</x:f>
      </x:c>
      <x:c r="K39" s="58" t="str">
        <x:f>IF(OR(NOT(ISNUMBER($B$5)),$B$5&lt;100000),"",ROUND(INDEX(B39:I39,1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0" ht="24" customHeight="1">
      <x:c r="A40" s="59" t="n">
        <x:v>51</x:v>
      </x:c>
      <x:c r="B40" s="60" t="n">
        <x:v>205.32</x:v>
      </x:c>
      <x:c r="C40" s="60" t="n">
        <x:v>217.31</x:v>
      </x:c>
      <x:c r="D40" s="60" t="n">
        <x:v>203.27</x:v>
      </x:c>
      <x:c r="E40" s="60" t="n">
        <x:v>215.14</x:v>
      </x:c>
      <x:c r="F40" s="60" t="n">
        <x:v>202.24</x:v>
      </x:c>
      <x:c r="G40" s="60" t="n">
        <x:v>214.05</x:v>
      </x:c>
      <x:c r="H40" s="60" t="n">
        <x:v>201.21</x:v>
      </x:c>
      <x:c r="I40" s="60" t="n">
        <x:v>212.96</x:v>
      </x:c>
      <x:c r="J40" s="58" t="str">
        <x:f>IF(OR(NOT(ISNUMBER($B$5)),$B$5&lt;100000),"",ROUND(INDEX(B40:I40,1,IF('ข้อมูลลูกค้า'!$C$8&lt;300000,1,IF('ข้อมูลลูกค้า'!$C$8&lt;500000,3,IF('ข้อมูลลูกค้า'!$C$8&lt;1000000,5,7)))+0)*$B$5/'ข้อมูลลูกค้า'!$C$15,2))</x:f>
      </x:c>
      <x:c r="K40" s="58" t="str">
        <x:f>IF(OR(NOT(ISNUMBER($B$5)),$B$5&lt;100000),"",ROUND(INDEX(B40:I40,1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1" ht="24" customHeight="1">
      <x:c r="A41" s="48" t="n">
        <x:v>52</x:v>
      </x:c>
      <x:c r="B41" s="37" t="n">
        <x:v>226.86</x:v>
      </x:c>
      <x:c r="C41" s="37" t="n">
        <x:v>239.03</x:v>
      </x:c>
      <x:c r="D41" s="37" t="n">
        <x:v>224.59</x:v>
      </x:c>
      <x:c r="E41" s="37" t="n">
        <x:v>236.64</x:v>
      </x:c>
      <x:c r="F41" s="37" t="n">
        <x:v>223.46</x:v>
      </x:c>
      <x:c r="G41" s="37" t="n">
        <x:v>235.44</x:v>
      </x:c>
      <x:c r="H41" s="37" t="n">
        <x:v>222.32</x:v>
      </x:c>
      <x:c r="I41" s="37" t="n">
        <x:v>234.25</x:v>
      </x:c>
      <x:c r="J41" s="58" t="str">
        <x:f>IF(OR(NOT(ISNUMBER($B$5)),$B$5&lt;100000),"",ROUND(INDEX(B41:I41,1,IF('ข้อมูลลูกค้า'!$C$8&lt;300000,1,IF('ข้อมูลลูกค้า'!$C$8&lt;500000,3,IF('ข้อมูลลูกค้า'!$C$8&lt;1000000,5,7)))+0)*$B$5/'ข้อมูลลูกค้า'!$C$15,2))</x:f>
      </x:c>
      <x:c r="K41" s="58" t="str">
        <x:f>IF(OR(NOT(ISNUMBER($B$5)),$B$5&lt;100000),"",ROUND(INDEX(B41:I41,1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2" ht="24" customHeight="1">
      <x:c r="A42" s="59" t="n">
        <x:v>53</x:v>
      </x:c>
      <x:c r="B42" s="60" t="n">
        <x:v>252.52</x:v>
      </x:c>
      <x:c r="C42" s="60" t="n">
        <x:v>264.63</x:v>
      </x:c>
      <x:c r="D42" s="60" t="n">
        <x:v>249.99</x:v>
      </x:c>
      <x:c r="E42" s="60" t="n">
        <x:v>261.98</x:v>
      </x:c>
      <x:c r="F42" s="60" t="n">
        <x:v>248.73</x:v>
      </x:c>
      <x:c r="G42" s="60" t="n">
        <x:v>260.66</x:v>
      </x:c>
      <x:c r="H42" s="60" t="n">
        <x:v>247.47</x:v>
      </x:c>
      <x:c r="I42" s="60" t="n">
        <x:v>259.34</x:v>
      </x:c>
      <x:c r="J42" s="58" t="str">
        <x:f>IF(OR(NOT(ISNUMBER($B$5)),$B$5&lt;100000),"",ROUND(INDEX(B42:I42,1,IF('ข้อมูลลูกค้า'!$C$8&lt;300000,1,IF('ข้อมูลลูกค้า'!$C$8&lt;500000,3,IF('ข้อมูลลูกค้า'!$C$8&lt;1000000,5,7)))+0)*$B$5/'ข้อมูลลูกค้า'!$C$15,2))</x:f>
      </x:c>
      <x:c r="K42" s="58" t="str">
        <x:f>IF(OR(NOT(ISNUMBER($B$5)),$B$5&lt;100000),"",ROUND(INDEX(B42:I42,1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3" ht="24" customHeight="1">
      <x:c r="A43" s="48" t="n">
        <x:v>54</x:v>
      </x:c>
      <x:c r="B43" s="37" t="n">
        <x:v>283.66</x:v>
      </x:c>
      <x:c r="C43" s="37" t="n">
        <x:v>295.44</x:v>
      </x:c>
      <x:c r="D43" s="37" t="n">
        <x:v>280.82</x:v>
      </x:c>
      <x:c r="E43" s="37" t="n">
        <x:v>292.49</x:v>
      </x:c>
      <x:c r="F43" s="37" t="n">
        <x:v>279.41</x:v>
      </x:c>
      <x:c r="G43" s="37" t="n">
        <x:v>291.01</x:v>
      </x:c>
      <x:c r="H43" s="37" t="n">
        <x:v>277.99</x:v>
      </x:c>
      <x:c r="I43" s="37" t="n">
        <x:v>289.53</x:v>
      </x:c>
      <x:c r="J43" s="58" t="str">
        <x:f>IF(OR(NOT(ISNUMBER($B$5)),$B$5&lt;100000),"",ROUND(INDEX(B43:I43,1,IF('ข้อมูลลูกค้า'!$C$8&lt;300000,1,IF('ข้อมูลลูกค้า'!$C$8&lt;500000,3,IF('ข้อมูลลูกค้า'!$C$8&lt;1000000,5,7)))+0)*$B$5/'ข้อมูลลูกค้า'!$C$15,2))</x:f>
      </x:c>
      <x:c r="K43" s="58" t="str">
        <x:f>IF(OR(NOT(ISNUMBER($B$5)),$B$5&lt;100000),"",ROUND(INDEX(B43:I43,1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4" ht="24" customHeight="1">
      <x:c r="A44" s="59" t="n">
        <x:v>55</x:v>
      </x:c>
      <x:c r="B44" s="60" t="n">
        <x:v>321.81</x:v>
      </x:c>
      <x:c r="C44" s="60" t="n">
        <x:v>333.16</x:v>
      </x:c>
      <x:c r="D44" s="60" t="n">
        <x:v>318.59</x:v>
      </x:c>
      <x:c r="E44" s="60" t="n">
        <x:v>329.83</x:v>
      </x:c>
      <x:c r="F44" s="60" t="n">
        <x:v>316.98</x:v>
      </x:c>
      <x:c r="G44" s="60" t="n">
        <x:v>328.16</x:v>
      </x:c>
      <x:c r="H44" s="60" t="n">
        <x:v>315.37</x:v>
      </x:c>
      <x:c r="I44" s="60" t="n">
        <x:v>326.5</x:v>
      </x:c>
      <x:c r="J44" s="58" t="str">
        <x:f>IF(OR(NOT(ISNUMBER($B$5)),$B$5&lt;100000),"",ROUND(INDEX(B44:I44,1,IF('ข้อมูลลูกค้า'!$C$8&lt;300000,1,IF('ข้อมูลลูกค้า'!$C$8&lt;500000,3,IF('ข้อมูลลูกค้า'!$C$8&lt;1000000,5,7)))+0)*$B$5/'ข้อมูลลูกค้า'!$C$15,2))</x:f>
      </x:c>
      <x:c r="K44" s="58" t="str">
        <x:f>IF(OR(NOT(ISNUMBER($B$5)),$B$5&lt;100000),"",ROUND(INDEX(B44:I44,1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5" ht="24" customHeight="1">
      <x:c r="A45" s="48" t="n">
        <x:v>56</x:v>
      </x:c>
      <x:c r="B45" s="37" t="n">
        <x:v>370.27</x:v>
      </x:c>
      <x:c r="C45" s="37" t="n">
        <x:v>380.03</x:v>
      </x:c>
      <x:c r="D45" s="37" t="n">
        <x:v>366.57</x:v>
      </x:c>
      <x:c r="E45" s="37" t="n">
        <x:v>376.23</x:v>
      </x:c>
      <x:c r="F45" s="37" t="n">
        <x:v>364.72</x:v>
      </x:c>
      <x:c r="G45" s="37" t="n">
        <x:v>374.33</x:v>
      </x:c>
      <x:c r="H45" s="37" t="n">
        <x:v>362.86</x:v>
      </x:c>
      <x:c r="I45" s="37" t="n">
        <x:v>372.43</x:v>
      </x:c>
      <x:c r="J45" s="58" t="str">
        <x:f>IF(OR(NOT(ISNUMBER($B$5)),$B$5&lt;100000),"",ROUND(INDEX(B45:I45,1,IF('ข้อมูลลูกค้า'!$C$8&lt;300000,1,IF('ข้อมูลลูกค้า'!$C$8&lt;500000,3,IF('ข้อมูลลูกค้า'!$C$8&lt;1000000,5,7)))+0)*$B$5/'ข้อมูลลูกค้า'!$C$15,2))</x:f>
      </x:c>
      <x:c r="K45" s="58" t="str">
        <x:f>IF(OR(NOT(ISNUMBER($B$5)),$B$5&lt;100000),"",ROUND(INDEX(B45:I45,1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6" ht="24" customHeight="1">
      <x:c r="A46" s="59" t="n">
        <x:v>57</x:v>
      </x:c>
      <x:c r="B46" s="60" t="n">
        <x:v>429.37</x:v>
      </x:c>
      <x:c r="C46" s="60" t="n">
        <x:v>432.73</x:v>
      </x:c>
      <x:c r="D46" s="60" t="n">
        <x:v>425.08</x:v>
      </x:c>
      <x:c r="E46" s="60" t="n">
        <x:v>428.4</x:v>
      </x:c>
      <x:c r="F46" s="60" t="n">
        <x:v>422.93</x:v>
      </x:c>
      <x:c r="G46" s="60" t="n">
        <x:v>426.24</x:v>
      </x:c>
      <x:c r="H46" s="60" t="n">
        <x:v>420.78</x:v>
      </x:c>
      <x:c r="I46" s="60" t="n">
        <x:v>424.08</x:v>
      </x:c>
      <x:c r="J46" s="58" t="str">
        <x:f>IF(OR(NOT(ISNUMBER($B$5)),$B$5&lt;100000),"",ROUND(INDEX(B46:I46,1,IF('ข้อมูลลูกค้า'!$C$8&lt;300000,1,IF('ข้อมูลลูกค้า'!$C$8&lt;500000,3,IF('ข้อมูลลูกค้า'!$C$8&lt;1000000,5,7)))+0)*$B$5/'ข้อมูลลูกค้า'!$C$15,2))</x:f>
      </x:c>
      <x:c r="K46" s="58" t="str">
        <x:f>IF(OR(NOT(ISNUMBER($B$5)),$B$5&lt;100000),"",ROUND(INDEX(B46:I46,1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7" ht="24" customHeight="1">
      <x:c r="A47" s="48" t="n">
        <x:v>58</x:v>
      </x:c>
      <x:c r="B47" s="37" t="n">
        <x:v>494.51</x:v>
      </x:c>
      <x:c r="C47" s="37" t="n">
        <x:v>494.81</x:v>
      </x:c>
      <x:c r="D47" s="37" t="n">
        <x:v>489.56</x:v>
      </x:c>
      <x:c r="E47" s="37" t="n">
        <x:v>489.86</x:v>
      </x:c>
      <x:c r="F47" s="37" t="n">
        <x:v>487.09</x:v>
      </x:c>
      <x:c r="G47" s="37" t="n">
        <x:v>487.39</x:v>
      </x:c>
      <x:c r="H47" s="37" t="n">
        <x:v>484.62</x:v>
      </x:c>
      <x:c r="I47" s="37" t="n">
        <x:v>484.91</x:v>
      </x:c>
      <x:c r="J47" s="58" t="str">
        <x:f>IF(OR(NOT(ISNUMBER($B$5)),$B$5&lt;100000),"",ROUND(INDEX(B47:I47,1,IF('ข้อมูลลูกค้า'!$C$8&lt;300000,1,IF('ข้อมูลลูกค้า'!$C$8&lt;500000,3,IF('ข้อมูลลูกค้า'!$C$8&lt;1000000,5,7)))+0)*$B$5/'ข้อมูลลูกค้า'!$C$15,2))</x:f>
      </x:c>
      <x:c r="K47" s="58" t="str">
        <x:f>IF(OR(NOT(ISNUMBER($B$5)),$B$5&lt;100000),"",ROUND(INDEX(B47:I47,1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8" ht="24" customHeight="1">
      <x:c r="A48" s="59" t="n">
        <x:v>59</x:v>
      </x:c>
      <x:c r="B48" s="60" t="n">
        <x:v>576.2</x:v>
      </x:c>
      <x:c r="C48" s="60" t="n">
        <x:v>576.21</x:v>
      </x:c>
      <x:c r="D48" s="60" t="n">
        <x:v>570.44</x:v>
      </x:c>
      <x:c r="E48" s="60" t="n">
        <x:v>570.45</x:v>
      </x:c>
      <x:c r="F48" s="60" t="n">
        <x:v>567.56</x:v>
      </x:c>
      <x:c r="G48" s="60" t="n">
        <x:v>567.57</x:v>
      </x:c>
      <x:c r="H48" s="60" t="n">
        <x:v>564.68</x:v>
      </x:c>
      <x:c r="I48" s="60" t="n">
        <x:v>564.69</x:v>
      </x:c>
      <x:c r="J48" s="58" t="str">
        <x:f>IF(OR(NOT(ISNUMBER($B$5)),$B$5&lt;100000),"",ROUND(INDEX(B48:I48,1,IF('ข้อมูลลูกค้า'!$C$8&lt;300000,1,IF('ข้อมูลลูกค้า'!$C$8&lt;500000,3,IF('ข้อมูลลูกค้า'!$C$8&lt;1000000,5,7)))+0)*$B$5/'ข้อมูลลูกค้า'!$C$15,2))</x:f>
      </x:c>
      <x:c r="K48" s="58" t="str">
        <x:f>IF(OR(NOT(ISNUMBER($B$5)),$B$5&lt;100000),"",ROUND(INDEX(B48:I48,1,IF('ข้อมูลลูกค้า'!$C$8&lt;300000,1,IF('ข้อมูลลูกค้า'!$C$8&lt;500000,3,IF('ข้อมูลลูกค้า'!$C$8&lt;1000000,5,7)))+1)*$B$5/'ข้อมูลลูกค้า'!$C$15,2))</x:f>
      </x:c>
    </x:row>
    <x:row r="49" ht="24" customHeight="1">
      <x:c r="A49" s="48" t="n">
        <x:v>60</x:v>
      </x:c>
      <x:c r="B49" s="37" t="n">
        <x:v>692.69</x:v>
      </x:c>
      <x:c r="C49" s="37" t="n">
        <x:v>692.77</x:v>
      </x:c>
      <x:c r="D49" s="37" t="n">
        <x:v>685.76</x:v>
      </x:c>
      <x:c r="E49" s="37" t="n">
        <x:v>685.84</x:v>
      </x:c>
      <x:c r="F49" s="37" t="n">
        <x:v>682.3</x:v>
      </x:c>
      <x:c r="G49" s="37" t="n">
        <x:v>682.38</x:v>
      </x:c>
      <x:c r="H49" s="37" t="n">
        <x:v>678.84</x:v>
      </x:c>
      <x:c r="I49" s="37" t="n">
        <x:v>678.91</x:v>
      </x:c>
      <x:c r="J49" s="58" t="str">
        <x:f>IF(OR(NOT(ISNUMBER($B$5)),$B$5&lt;100000),"",ROUND(INDEX(B49:I49,1,IF('ข้อมูลลูกค้า'!$C$8&lt;300000,1,IF('ข้อมูลลูกค้า'!$C$8&lt;500000,3,IF('ข้อมูลลูกค้า'!$C$8&lt;1000000,5,7)))+0)*$B$5/'ข้อมูลลูกค้า'!$C$15,2))</x:f>
      </x:c>
      <x:c r="K49" s="58" t="str">
        <x:f>IF(OR(NOT(ISNUMBER($B$5)),$B$5&lt;100000),"",ROUND(INDEX(B49:I49,1,IF('ข้อมูลลูกค้า'!$C$8&lt;300000,1,IF('ข้อมูลลูกค้า'!$C$8&lt;500000,3,IF('ข้อมูลลูกค้า'!$C$8&lt;1000000,5,7)))+1)*$B$5/'ข้อมูลลูกค้า'!$C$15,2))</x:f>
      </x:c>
    </x:row>
  </x:sheetData>
  <x:mergeCells>
    <x:mergeCell ref="B7:C7"/>
    <x:mergeCell ref="D7:E7"/>
    <x:mergeCell ref="F7:G7"/>
    <x:mergeCell ref="H7:I7"/>
    <x:mergeCell ref="J7:K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A4B8E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43" hidden="0" customWidth="1"/>
    <x:col min="4" max="4" width="21" hidden="0" customWidth="1"/>
    <x:col min="5" max="5" width="27" hidden="0" customWidth="1"/>
    <x:col min="6" max="6" width="30" hidden="0" customWidth="1"/>
    <x:col min="7" max="7" width="31" hidden="0" customWidth="1"/>
    <x:col min="8" max="8" width="27" hidden="0" customWidth="1"/>
  </x:cols>
  <x:sheetData>
    <x:row r="1" ht="25" customHeight="1">
      <x:c r="A1" s="2"/>
      <x:c r="B1" s="2"/>
      <x:c r="C1" s="2"/>
      <x:c r="D1" s="2"/>
      <x:c r="E1" s="2"/>
      <x:c r="F1" s="2"/>
      <x:c r="G1"/>
      <x:c r="H1"/>
    </x:row>
    <x:row r="2" ht="25" customHeight="1">
      <x:c r="A2" s="2"/>
      <x:c r="B2" s="3" t="str">
        <x:v>Flexi Retire คำนวณทุนจากเบี้ย</x:v>
      </x:c>
      <x:c r="C2" s="3"/>
      <x:c r="D2" s="3"/>
      <x:c r="E2" s="3"/>
      <x:c r="F2" s="3"/>
      <x:c r="G2"/>
      <x:c r="H2"/>
    </x:row>
    <x:row r="3" ht="25" customHeight="1">
      <x:c r="A3" s="2"/>
      <x:c r="B3" s="4"/>
      <x:c r="C3" s="4"/>
      <x:c r="D3" s="4"/>
      <x:c r="E3" s="4"/>
      <x:c r="F3" s="4"/>
      <x:c r="G3"/>
      <x:c r="H3"/>
    </x:row>
    <x:row r="4" ht="25" customHeight="1">
      <x:c r="A4" s="2"/>
      <x:c r="B4" s="5" t="str">
        <x:v>กรอกข้อมูลในช่องสีเหลือง</x:v>
      </x:c>
      <x:c r="C4" s="2"/>
      <x:c r="D4" s="2"/>
      <x:c r="E4" s="2"/>
      <x:c r="F4" s="2"/>
      <x:c r="G4"/>
      <x:c r="H4"/>
    </x:row>
    <x:row r="5" ht="25" customHeight="1">
      <x:c r="A5" s="2"/>
      <x:c r="B5" s="2" t="str">
        <x:v>เพศ</x:v>
      </x:c>
      <x:c r="C5" s="7"/>
      <x:c r="D5" s="2"/>
      <x:c r="E5" s="2"/>
      <x:c r="F5" s="2"/>
      <x:c r="G5"/>
      <x:c r="H5"/>
    </x:row>
    <x:row r="6" ht="25" customHeight="1">
      <x:c r="A6" s="2"/>
      <x:c r="B6" s="2" t="str">
        <x:v>อายุ</x:v>
      </x:c>
      <x:c r="C6" s="9"/>
      <x:c r="D6" s="2" t="str">
        <x:v>ปี</x:v>
      </x:c>
      <x:c r="E6" s="2"/>
      <x:c r="F6" s="2"/>
      <x:c r="G6"/>
      <x:c r="H6"/>
    </x:row>
    <x:row r="7" ht="25" customHeight="1">
      <x:c r="A7" s="2"/>
      <x:c r="B7" s="2" t="str">
        <x:v>แผนที่สนใจ</x:v>
      </x:c>
      <x:c r="C7" s="7"/>
      <x:c r="D7" s="2"/>
      <x:c r="E7" s="2"/>
      <x:c r="F7" s="2"/>
      <x:c r="G7"/>
      <x:c r="H7"/>
    </x:row>
    <x:row r="8" ht="25" customHeight="1">
      <x:c r="A8" s="2"/>
      <x:c r="B8" s="2" t="str">
        <x:v>เบี้ยประกันรายปี</x:v>
      </x:c>
      <x:c r="C8" s="8"/>
      <x:c r="D8" s="2" t="str">
        <x:v>บาท/ปี</x:v>
      </x:c>
      <x:c r="E8" s="2"/>
      <x:c r="F8" s="2"/>
      <x:c r="G8"/>
      <x:c r="H8"/>
    </x:row>
    <x:row r="9" ht="25" customHeight="1">
      <x:c r="A9" s="2"/>
      <x:c r="B9" s="63" t="str">
        <x:v>เบี้ยรายปีที่ใช้คำนวณ</x:v>
      </x:c>
      <x:c r="C9" s="71" t="str">
        <x:f>IF(C17&lt;&gt;"พร้อมคำนวณ","",C8)</x:f>
      </x:c>
      <x:c r="D9" s="63" t="str">
        <x:v>บาท/ปี</x:v>
      </x:c>
      <x:c r="E9" s="2"/>
      <x:c r="F9" s="2"/>
      <x:c r="G9"/>
      <x:c r="H9"/>
    </x:row>
    <x:row r="10" ht="25" customHeight="1">
      <x:c r="A10" s="2"/>
      <x:c r="B10" s="2"/>
      <x:c r="C10" s="2"/>
      <x:c r="D10" s="2"/>
      <x:c r="E10" s="2"/>
      <x:c r="F10" s="2"/>
      <x:c r="G10"/>
      <x:c r="H10"/>
    </x:row>
    <x:row r="11" ht="38" customHeight="1">
      <x:c r="A11" s="2"/>
      <x:c r="B11" s="12" t="str">
        <x:v>ทุนประกันที่คำนวณได้</x:v>
      </x:c>
      <x:c r="C11" s="13" t="str">
        <x:f>IF(C17&lt;&gt;"พร้อมคำนวณ","",MAX(G129:G132))</x:f>
      </x:c>
      <x:c r="D11" s="12" t="str">
        <x:v>บาท</x:v>
      </x:c>
      <x:c r="E11" s="2"/>
      <x:c r="F11" s="2"/>
      <x:c r="G11"/>
      <x:c r="H11"/>
    </x:row>
    <x:row r="12" ht="25" customHeight="1">
      <x:c r="A12" s="2"/>
      <x:c r="B12" s="2" t="str">
        <x:v>จำนวนปีชำระเบี้ย</x:v>
      </x:c>
      <x:c r="C12" s="22" t="str">
        <x:f>IF(OR(C7="",COUNTIFS($B$115:$B$120,C7)=0,NOT(ISNUMBER(C6))),"",IF(VLOOKUP(C7,$B$115:$G$120,2,FALSE)="5 ปี",5,VLOOKUP(C7,$B$115:$G$120,5,FALSE)-C6))</x:f>
      </x:c>
      <x:c r="D12" s="2" t="str">
        <x:v>ปี</x:v>
      </x:c>
      <x:c r="E12" s="2"/>
      <x:c r="F12" s="2"/>
      <x:c r="G12"/>
      <x:c r="H12"/>
    </x:row>
    <x:row r="13" ht="25" customHeight="1">
      <x:c r="A13" s="2"/>
      <x:c r="B13" s="2" t="str">
        <x:v>อายุเริ่มรับบำนาญ</x:v>
      </x:c>
      <x:c r="C13" s="22" t="str">
        <x:f>IF(OR(C7="",COUNTIFS($B$115:$B$120,C7)=0),"",VLOOKUP(C7,$B$115:$G$120,5,FALSE))</x:f>
      </x:c>
      <x:c r="D13" s="2" t="str">
        <x:v>ปี</x:v>
      </x:c>
      <x:c r="E13" s="2"/>
      <x:c r="F13" s="2"/>
      <x:c r="G13"/>
      <x:c r="H13"/>
    </x:row>
    <x:row r="14" ht="25" customHeight="1">
      <x:c r="A14" s="2"/>
      <x:c r="B14" s="2" t="str">
        <x:v>อัตราเบี้ยตามเพศและอายุ</x:v>
      </x:c>
      <x:c r="C14" s="14" t="str">
        <x:f>IF(C17&lt;&gt;"พร้อมคำนวณ","",IF(C7="90/5 ดี 55",INDEX('90-5 ดี 55'!$B$9:$C$39,MATCH(C6,'90-5 ดี 55'!$A$9:$A$39,0),IF(C5="ชาย",1,2)),IF(C7="90/5 ดี 60",INDEX('90-5 ดี 60'!$B$9:$C$44,MATCH(C6,'90-5 ดี 60'!$A$9:$A$44,0),IF(C5="ชาย",1,2)),IF(C7="90/5 ดี 65",INDEX('90-5 ดี 65'!$B$9:$C$44,MATCH(C6,'90-5 ดี 65'!$A$9:$A$44,0),IF(C5="ชาย",1,2)),IF(C7="เฟล็กซี่ รีไทร์ 9055",INDEX('9055'!$B$9:$I$39,MATCH(C6,'9055'!$A$9:$A$39,0),IF(C11&lt;300000,1,IF(C11&lt;500000,3,IF(C11&lt;1000000,5,7)))+IF(C5="ชาย",0,1)),IF(C7="เฟล็กซี่ รีไทร์ 9060",INDEX('9060'!$B$9:$I$44,MATCH(C6,'9060'!$A$9:$A$44,0),IF(C11&lt;300000,1,IF(C11&lt;500000,3,IF(C11&lt;1000000,5,7)))+IF(C5="ชาย",0,1)),INDEX('9065'!$B$9:$I$49,MATCH(C6,'9065'!$A$9:$A$49,0),IF(C11&lt;300000,1,IF(C11&lt;500000,3,IF(C11&lt;1000000,5,7)))+IF(C5="ชาย",0,1))))))))</x:f>
      </x:c>
      <x:c r="D14" s="2" t="str">
        <x:v>บาท</x:v>
      </x:c>
      <x:c r="E14" s="2"/>
      <x:c r="F14" s="2"/>
      <x:c r="G14"/>
      <x:c r="H14"/>
    </x:row>
    <x:row r="15" ht="25" customHeight="1">
      <x:c r="A15" s="2"/>
      <x:c r="B15" s="2" t="str">
        <x:v>ต่อทุนประกัน</x:v>
      </x:c>
      <x:c r="C15" s="10" t="n">
        <x:v>1000</x:v>
      </x:c>
      <x:c r="D15" s="2" t="str">
        <x:v>บาท</x:v>
      </x:c>
      <x:c r="E15" s="2"/>
      <x:c r="F15" s="2"/>
      <x:c r="G15"/>
      <x:c r="H15"/>
    </x:row>
    <x:row r="16" ht="25" customHeight="1">
      <x:c r="A16" s="2"/>
      <x:c r="B16" s="2" t="str">
        <x:v>ช่วงทุนที่ใช้อัตราเบี้ย</x:v>
      </x:c>
      <x:c r="C16" s="63" t="str">
        <x:f>IF(C17&lt;&gt;"พร้อมคำนวณ","",IF(OR(C7="90/5 ดี 55",C7="90/5 ดี 60",C7="90/5 ดี 65"),"อัตราเดียว",IF(C11&lt;300000,"100,000–299,999 บาท",IF(C11&lt;500000,"300,000–499,999 บาท",IF(C11&lt;1000000,"500,000–999,999 บาท","ตั้งแต่ 1,000,000 บาท")))))</x:f>
      </x:c>
      <x:c r="D16" s="2"/>
      <x:c r="E16" s="2"/>
      <x:c r="F16" s="2"/>
      <x:c r="G16"/>
      <x:c r="H16"/>
    </x:row>
    <x:row r="17" ht="24" customHeight="1">
      <x:c r="A17" s="2"/>
      <x:c r="B17" s="2" t="str">
        <x:v>สถานะข้อมูล</x:v>
      </x:c>
      <x:c r="C17" s="15" t="str">
        <x:f>IF(C126&lt;&gt;"ข้อมูลพื้นฐานครบ",C126,IF(MAX(G129:G132)&lt;=0,"เบี้ยไม่เพียงพอสำหรับทุนขั้นต่ำของแผน","พร้อมคำนวณ"))</x:f>
        <x:v>กรอกข้อมูลให้ครบ 4 ช่อง</x:v>
      </x:c>
      <x:c r="D17" s="15"/>
      <x:c r="E17" s="15"/>
      <x:c r="F17" s="15"/>
      <x:c r="G17"/>
      <x:c r="H17"/>
    </x:row>
    <x:row r="18" ht="24" customHeight="1">
      <x:c r="A18" s="2"/>
      <x:c r="B18" s="2"/>
      <x:c r="C18" s="15"/>
      <x:c r="D18" s="15"/>
      <x:c r="E18" s="15"/>
      <x:c r="F18" s="15"/>
      <x:c r="G18"/>
      <x:c r="H18"/>
    </x:row>
    <x:row r="19" ht="25" customHeight="1">
      <x:c r="A19" s="2"/>
      <x:c r="B19" s="2"/>
      <x:c r="C19" s="2"/>
      <x:c r="D19" s="2"/>
      <x:c r="E19" s="2"/>
      <x:c r="F19" s="2"/>
      <x:c r="G19"/>
      <x:c r="H19"/>
    </x:row>
    <x:row r="20" ht="25" customHeight="1">
      <x:c r="A20" s="2"/>
      <x:c r="B20" s="16" t="str">
        <x:v>ใช้เบี้ยรายปีตามที่กรอก เพื่อคำนวณทุนประกันเป็นทศนิยม 2 ตำแหน่ง</x:v>
      </x:c>
      <x:c r="C20" s="16"/>
      <x:c r="D20" s="16"/>
      <x:c r="E20" s="16"/>
      <x:c r="F20" s="16"/>
      <x:c r="G20"/>
      <x:c r="H20"/>
    </x:row>
    <x:row r="21" ht="25" customHeight="1">
      <x:c r="A21" s="2"/>
      <x:c r="B21" s="16" t="str">
        <x:v>ช่วงอายุและทุนขั้นต่ำของแต่ละแบบ ดูตารางเงื่อนไขแผนด้านล่าง</x:v>
      </x:c>
      <x:c r="C21" s="16"/>
      <x:c r="D21" s="16"/>
      <x:c r="E21" s="16"/>
      <x:c r="F21" s="16"/>
      <x:c r="G21"/>
      <x:c r="H21"/>
    </x:row>
    <x:row r="22" ht="25" customHeight="1">
      <x:c r="A22" s="2"/>
      <x:c r="B22" s="16" t="str">
        <x:v>กรณีมีคำตอบได้หลายช่วงทุน ระบบเลือกทุนที่สูงที่สุดซึ่งอยู่ในช่วงอัตรานั้น</x:v>
      </x:c>
      <x:c r="C22" s="16"/>
      <x:c r="D22" s="16"/>
      <x:c r="E22" s="16"/>
      <x:c r="F22" s="16"/>
      <x:c r="G22"/>
      <x:c r="H22"/>
    </x:row>
    <x:row r="23" ht="25" customHeight="1">
      <x:c r="A23" s="2"/>
      <x:c r="B23" s="16" t="str">
        <x:v>เบี้ยที่ชำระและความคุ้มครองในตารางใช้เบี้ยตามที่กรอกในช่อง C8</x:v>
      </x:c>
      <x:c r="C23" s="16"/>
      <x:c r="D23" s="16"/>
      <x:c r="E23" s="16"/>
      <x:c r="F23" s="16"/>
      <x:c r="G23"/>
      <x:c r="H23"/>
    </x:row>
    <x:row r="24" ht="25" customHeight="1">
      <x:c r="A24" s="2"/>
      <x:c r="B24" s="16" t="str">
        <x:v>ใช้คำนวณเบี้ยรายปีตามตาราง ควรยืนยันเบี้ยเสนอขายกับบริษัท</x:v>
      </x:c>
      <x:c r="C24" s="16"/>
      <x:c r="D24" s="16"/>
      <x:c r="E24" s="16"/>
      <x:c r="F24" s="16"/>
      <x:c r="G24"/>
      <x:c r="H24"/>
    </x:row>
    <x:row r="25" ht="25" customHeight="1">
      <x:c r="A25" s="2"/>
      <x:c r="B25" s="2"/>
      <x:c r="C25" s="2"/>
      <x:c r="D25" s="2"/>
      <x:c r="E25" s="2"/>
      <x:c r="F25" s="2"/>
      <x:c r="G25"/>
      <x:c r="H25"/>
    </x:row>
    <x:row r="26" ht="25" customHeight="1">
      <x:c r="A26" s="2"/>
      <x:c r="B26" s="2"/>
      <x:c r="C26" s="2"/>
      <x:c r="D26" s="2"/>
      <x:c r="E26" s="2"/>
      <x:c r="F26" s="2"/>
      <x:c r="G26"/>
      <x:c r="H26"/>
    </x:row>
    <x:row r="27" ht="27" customHeight="1">
      <x:c r="A27"/>
      <x:c r="B27" s="26" t="str">
        <x:v>เบี้ยที่ชำระรวมตลอดสัญญา</x:v>
      </x:c>
      <x:c r="C27" s="27" t="str">
        <x:f>IF($C$17&lt;&gt;"พร้อมคำนวณ","",SUM(C34:C104))</x:f>
      </x:c>
      <x:c r="D27"/>
      <x:c r="E27"/>
      <x:c r="F27"/>
      <x:c r="G27"/>
      <x:c r="H27"/>
    </x:row>
    <x:row r="28" ht="27" customHeight="1">
      <x:c r="A28"/>
      <x:c r="B28" s="26" t="str">
        <x:v>เงินบำนาญรวมถึงอายุ 90 ปี</x:v>
      </x:c>
      <x:c r="C28" s="27" t="str">
        <x:f>IF($C$17&lt;&gt;"พร้อมคำนวณ","",SUM(E34:E104))</x:f>
      </x:c>
      <x:c r="D28"/>
      <x:c r="E28"/>
      <x:c r="F28"/>
      <x:c r="G28"/>
      <x:c r="H28"/>
    </x:row>
    <x:row r="29">
      <x:c r="A29"/>
      <x:c r="B29" s="44" t="str">
        <x:v>ก่อนรับบำนาญ: หากไม่ได้กรอกมูลค่าเวนคืน ตารางจะแสดงความคุ้มครองขั้นต่ำที่ 105% ของเบี้ยสะสม</x:v>
      </x:c>
      <x:c r="C29"/>
      <x:c r="D29"/>
      <x:c r="E29"/>
      <x:c r="F29"/>
      <x:c r="G29"/>
      <x:c r="H29"/>
    </x:row>
    <x:row r="30">
      <x:c r="A30"/>
      <x:c r="B30" s="28" t="str">
        <x:v>ตารางเงินบำนาญรายปี ตั้งแต่อายุเริ่มทำประกันถึงอายุ 90 ปี</x:v>
      </x:c>
      <x:c r="C30" s="28"/>
      <x:c r="D30" s="28"/>
      <x:c r="E30" s="28"/>
      <x:c r="F30" s="28"/>
      <x:c r="G30"/>
      <x:c r="H30"/>
    </x:row>
    <x:row r="31">
      <x:c r="A31"/>
      <x:c r="B31" s="29" t="str">
        <x:v>เงินบำนาญรายปีแสดงกรณีผู้เอาประกันมีชีวิตอยู่ถึงปีนั้น ความคุ้มครองชีวิตใช้กรณีเสียชีวิต</x:v>
      </x:c>
      <x:c r="C31" s="29"/>
      <x:c r="D31" s="29"/>
      <x:c r="E31" s="29"/>
      <x:c r="F31" s="29"/>
      <x:c r="G31"/>
      <x:c r="H31"/>
    </x:row>
    <x:row r="32">
      <x:c r="A32"/>
      <x:c r="B32" s="29" t="str">
        <x:v>อ้างอิงผลประโยชน์: IMG_7465(1).png และ IMG_7466.png | กรอกมูลค่าเวนคืนก่อนรับบำนาญใน H</x:v>
      </x:c>
      <x:c r="C32" s="29"/>
      <x:c r="D32" s="29"/>
      <x:c r="E32" s="29"/>
      <x:c r="F32" s="29"/>
      <x:c r="G32"/>
      <x:c r="H32"/>
    </x:row>
    <x:row r="33" ht="33" customHeight="1">
      <x:c r="A33"/>
      <x:c r="B33" s="64" t="str">
        <x:v>อายุ (ปี)</x:v>
      </x:c>
      <x:c r="C33" s="64" t="str">
        <x:v>เบี้ยที่ชำระ (บาท)</x:v>
      </x:c>
      <x:c r="D33" s="64" t="str">
        <x:v>อัตราเงินบำนาญ</x:v>
      </x:c>
      <x:c r="E33" s="64" t="str">
        <x:v>เงินบำนาญปีนั้น (บาท)</x:v>
      </x:c>
      <x:c r="F33" s="64" t="str">
        <x:v>เงินบำนาญสะสม (บาท)</x:v>
      </x:c>
      <x:c r="G33" s="64" t="str">
        <x:v>ความคุ้มครองชีวิต* (บาท)</x:v>
      </x:c>
      <x:c r="H33" s="64" t="str">
        <x:v>มูลค่าเวนคืน (กรอก)</x:v>
      </x:c>
    </x:row>
    <x:row r="34" ht="23" customHeight="1">
      <x:c r="A34"/>
      <x:c r="B34" s="36" t="str">
        <x:f>IF($C$17&lt;&gt;"พร้อมคำนวณ","",IF($C$6+ROW()-34&gt;90,"",$C$6+ROW()-34))</x:f>
      </x:c>
      <x:c r="C34" s="37" t="str">
        <x:f>IF(B34="","",IF(B34-$C$6&lt;$C$12,$C$9,0))</x:f>
      </x:c>
      <x:c r="D34" s="38" t="str">
        <x:f>IF(B34="","",IF(B34&lt;$C$13,0,IF(B34&lt;=70,12%,IF(B34&lt;=75,15%,IF(B34&lt;=80,18%,IF(B34&lt;=85,21%,24%))))))</x:f>
      </x:c>
      <x:c r="E34" s="42" t="str">
        <x:f>IF(B34="","",ROUND(D34*$C$11,2))</x:f>
      </x:c>
      <x:c r="F34" s="37" t="str">
        <x:f>IF(B34="","",SUM($E$34:E34))</x:f>
      </x:c>
      <x:c r="G34" s="42" t="str">
        <x:f>IF(B34="","",IF(B34&lt;$C$13,IF(H34="",ROUND(105%*SUM($C$34:C34),2),IF(AND(ISNUMBER(H34),H34&gt;=0),MAX(ROUND(105%*SUM($C$34:C34),2),H34),"ตรวจมูลค่าเวนคืน")),MAX(0,ROUND(SUM($C$34:C34)-F34,2))))</x:f>
      </x:c>
      <x:c r="H34" s="65"/>
    </x:row>
    <x:row r="35" ht="23" customHeight="1">
      <x:c r="A35"/>
      <x:c r="B35" s="66" t="str">
        <x:f>IF($C$17&lt;&gt;"พร้อมคำนวณ","",IF($C$6+ROW()-34&gt;90,"",$C$6+ROW()-34))</x:f>
      </x:c>
      <x:c r="C35" s="67" t="str">
        <x:f>IF(B35="","",IF(B35-$C$6&lt;$C$12,$C$9,0))</x:f>
      </x:c>
      <x:c r="D35" s="68" t="str">
        <x:f>IF(B35="","",IF(B35&lt;$C$13,0,IF(B35&lt;=70,12%,IF(B35&lt;=75,15%,IF(B35&lt;=80,18%,IF(B35&lt;=85,21%,24%))))))</x:f>
      </x:c>
      <x:c r="E35" s="69" t="str">
        <x:f>IF(B35="","",ROUND(D35*$C$11,2))</x:f>
      </x:c>
      <x:c r="F35" s="67" t="str">
        <x:f>IF(B35="","",SUM($E$34:E35))</x:f>
      </x:c>
      <x:c r="G35" s="69" t="str">
        <x:f>IF(B35="","",IF(B35&lt;$C$13,IF(H35="",ROUND(105%*SUM($C$34:C35),2),IF(AND(ISNUMBER(H35),H35&gt;=0),MAX(ROUND(105%*SUM($C$34:C35),2),H35),"ตรวจมูลค่าเวนคืน")),MAX(0,ROUND(SUM($C$34:C35)-F35,2))))</x:f>
      </x:c>
      <x:c r="H35" s="65"/>
    </x:row>
    <x:row r="36" ht="23" customHeight="1">
      <x:c r="A36"/>
      <x:c r="B36" s="36" t="str">
        <x:f>IF($C$17&lt;&gt;"พร้อมคำนวณ","",IF($C$6+ROW()-34&gt;90,"",$C$6+ROW()-34))</x:f>
      </x:c>
      <x:c r="C36" s="37" t="str">
        <x:f>IF(B36="","",IF(B36-$C$6&lt;$C$12,$C$9,0))</x:f>
      </x:c>
      <x:c r="D36" s="38" t="str">
        <x:f>IF(B36="","",IF(B36&lt;$C$13,0,IF(B36&lt;=70,12%,IF(B36&lt;=75,15%,IF(B36&lt;=80,18%,IF(B36&lt;=85,21%,24%))))))</x:f>
      </x:c>
      <x:c r="E36" s="42" t="str">
        <x:f>IF(B36="","",ROUND(D36*$C$11,2))</x:f>
      </x:c>
      <x:c r="F36" s="37" t="str">
        <x:f>IF(B36="","",SUM($E$34:E36))</x:f>
      </x:c>
      <x:c r="G36" s="42" t="str">
        <x:f>IF(B36="","",IF(B36&lt;$C$13,IF(H36="",ROUND(105%*SUM($C$34:C36),2),IF(AND(ISNUMBER(H36),H36&gt;=0),MAX(ROUND(105%*SUM($C$34:C36),2),H36),"ตรวจมูลค่าเวนคืน")),MAX(0,ROUND(SUM($C$34:C36)-F36,2))))</x:f>
      </x:c>
      <x:c r="H36" s="65"/>
    </x:row>
    <x:row r="37" ht="23" customHeight="1">
      <x:c r="A37"/>
      <x:c r="B37" s="66" t="str">
        <x:f>IF($C$17&lt;&gt;"พร้อมคำนวณ","",IF($C$6+ROW()-34&gt;90,"",$C$6+ROW()-34))</x:f>
      </x:c>
      <x:c r="C37" s="67" t="str">
        <x:f>IF(B37="","",IF(B37-$C$6&lt;$C$12,$C$9,0))</x:f>
      </x:c>
      <x:c r="D37" s="68" t="str">
        <x:f>IF(B37="","",IF(B37&lt;$C$13,0,IF(B37&lt;=70,12%,IF(B37&lt;=75,15%,IF(B37&lt;=80,18%,IF(B37&lt;=85,21%,24%))))))</x:f>
      </x:c>
      <x:c r="E37" s="69" t="str">
        <x:f>IF(B37="","",ROUND(D37*$C$11,2))</x:f>
      </x:c>
      <x:c r="F37" s="67" t="str">
        <x:f>IF(B37="","",SUM($E$34:E37))</x:f>
      </x:c>
      <x:c r="G37" s="69" t="str">
        <x:f>IF(B37="","",IF(B37&lt;$C$13,IF(H37="",ROUND(105%*SUM($C$34:C37),2),IF(AND(ISNUMBER(H37),H37&gt;=0),MAX(ROUND(105%*SUM($C$34:C37),2),H37),"ตรวจมูลค่าเวนคืน")),MAX(0,ROUND(SUM($C$34:C37)-F37,2))))</x:f>
      </x:c>
      <x:c r="H37" s="65"/>
    </x:row>
    <x:row r="38" ht="23" customHeight="1">
      <x:c r="A38"/>
      <x:c r="B38" s="36" t="str">
        <x:f>IF($C$17&lt;&gt;"พร้อมคำนวณ","",IF($C$6+ROW()-34&gt;90,"",$C$6+ROW()-34))</x:f>
      </x:c>
      <x:c r="C38" s="37" t="str">
        <x:f>IF(B38="","",IF(B38-$C$6&lt;$C$12,$C$9,0))</x:f>
      </x:c>
      <x:c r="D38" s="38" t="str">
        <x:f>IF(B38="","",IF(B38&lt;$C$13,0,IF(B38&lt;=70,12%,IF(B38&lt;=75,15%,IF(B38&lt;=80,18%,IF(B38&lt;=85,21%,24%))))))</x:f>
      </x:c>
      <x:c r="E38" s="42" t="str">
        <x:f>IF(B38="","",ROUND(D38*$C$11,2))</x:f>
      </x:c>
      <x:c r="F38" s="37" t="str">
        <x:f>IF(B38="","",SUM($E$34:E38))</x:f>
      </x:c>
      <x:c r="G38" s="42" t="str">
        <x:f>IF(B38="","",IF(B38&lt;$C$13,IF(H38="",ROUND(105%*SUM($C$34:C38),2),IF(AND(ISNUMBER(H38),H38&gt;=0),MAX(ROUND(105%*SUM($C$34:C38),2),H38),"ตรวจมูลค่าเวนคืน")),MAX(0,ROUND(SUM($C$34:C38)-F38,2))))</x:f>
      </x:c>
      <x:c r="H38" s="65"/>
    </x:row>
    <x:row r="39" ht="23" customHeight="1">
      <x:c r="A39"/>
      <x:c r="B39" s="66" t="str">
        <x:f>IF($C$17&lt;&gt;"พร้อมคำนวณ","",IF($C$6+ROW()-34&gt;90,"",$C$6+ROW()-34))</x:f>
      </x:c>
      <x:c r="C39" s="67" t="str">
        <x:f>IF(B39="","",IF(B39-$C$6&lt;$C$12,$C$9,0))</x:f>
      </x:c>
      <x:c r="D39" s="68" t="str">
        <x:f>IF(B39="","",IF(B39&lt;$C$13,0,IF(B39&lt;=70,12%,IF(B39&lt;=75,15%,IF(B39&lt;=80,18%,IF(B39&lt;=85,21%,24%))))))</x:f>
      </x:c>
      <x:c r="E39" s="69" t="str">
        <x:f>IF(B39="","",ROUND(D39*$C$11,2))</x:f>
      </x:c>
      <x:c r="F39" s="67" t="str">
        <x:f>IF(B39="","",SUM($E$34:E39))</x:f>
      </x:c>
      <x:c r="G39" s="69" t="str">
        <x:f>IF(B39="","",IF(B39&lt;$C$13,IF(H39="",ROUND(105%*SUM($C$34:C39),2),IF(AND(ISNUMBER(H39),H39&gt;=0),MAX(ROUND(105%*SUM($C$34:C39),2),H39),"ตรวจมูลค่าเวนคืน")),MAX(0,ROUND(SUM($C$34:C39)-F39,2))))</x:f>
      </x:c>
      <x:c r="H39" s="65"/>
    </x:row>
    <x:row r="40" ht="23" customHeight="1">
      <x:c r="A40"/>
      <x:c r="B40" s="36" t="str">
        <x:f>IF($C$17&lt;&gt;"พร้อมคำนวณ","",IF($C$6+ROW()-34&gt;90,"",$C$6+ROW()-34))</x:f>
      </x:c>
      <x:c r="C40" s="37" t="str">
        <x:f>IF(B40="","",IF(B40-$C$6&lt;$C$12,$C$9,0))</x:f>
      </x:c>
      <x:c r="D40" s="38" t="str">
        <x:f>IF(B40="","",IF(B40&lt;$C$13,0,IF(B40&lt;=70,12%,IF(B40&lt;=75,15%,IF(B40&lt;=80,18%,IF(B40&lt;=85,21%,24%))))))</x:f>
      </x:c>
      <x:c r="E40" s="42" t="str">
        <x:f>IF(B40="","",ROUND(D40*$C$11,2))</x:f>
      </x:c>
      <x:c r="F40" s="37" t="str">
        <x:f>IF(B40="","",SUM($E$34:E40))</x:f>
      </x:c>
      <x:c r="G40" s="42" t="str">
        <x:f>IF(B40="","",IF(B40&lt;$C$13,IF(H40="",ROUND(105%*SUM($C$34:C40),2),IF(AND(ISNUMBER(H40),H40&gt;=0),MAX(ROUND(105%*SUM($C$34:C40),2),H40),"ตรวจมูลค่าเวนคืน")),MAX(0,ROUND(SUM($C$34:C40)-F40,2))))</x:f>
      </x:c>
      <x:c r="H40" s="65"/>
    </x:row>
    <x:row r="41" ht="23" customHeight="1">
      <x:c r="A41"/>
      <x:c r="B41" s="66" t="str">
        <x:f>IF($C$17&lt;&gt;"พร้อมคำนวณ","",IF($C$6+ROW()-34&gt;90,"",$C$6+ROW()-34))</x:f>
      </x:c>
      <x:c r="C41" s="67" t="str">
        <x:f>IF(B41="","",IF(B41-$C$6&lt;$C$12,$C$9,0))</x:f>
      </x:c>
      <x:c r="D41" s="68" t="str">
        <x:f>IF(B41="","",IF(B41&lt;$C$13,0,IF(B41&lt;=70,12%,IF(B41&lt;=75,15%,IF(B41&lt;=80,18%,IF(B41&lt;=85,21%,24%))))))</x:f>
      </x:c>
      <x:c r="E41" s="69" t="str">
        <x:f>IF(B41="","",ROUND(D41*$C$11,2))</x:f>
      </x:c>
      <x:c r="F41" s="67" t="str">
        <x:f>IF(B41="","",SUM($E$34:E41))</x:f>
      </x:c>
      <x:c r="G41" s="69" t="str">
        <x:f>IF(B41="","",IF(B41&lt;$C$13,IF(H41="",ROUND(105%*SUM($C$34:C41),2),IF(AND(ISNUMBER(H41),H41&gt;=0),MAX(ROUND(105%*SUM($C$34:C41),2),H41),"ตรวจมูลค่าเวนคืน")),MAX(0,ROUND(SUM($C$34:C41)-F41,2))))</x:f>
      </x:c>
      <x:c r="H41" s="65"/>
    </x:row>
    <x:row r="42" ht="23" customHeight="1">
      <x:c r="A42"/>
      <x:c r="B42" s="36" t="str">
        <x:f>IF($C$17&lt;&gt;"พร้อมคำนวณ","",IF($C$6+ROW()-34&gt;90,"",$C$6+ROW()-34))</x:f>
      </x:c>
      <x:c r="C42" s="37" t="str">
        <x:f>IF(B42="","",IF(B42-$C$6&lt;$C$12,$C$9,0))</x:f>
      </x:c>
      <x:c r="D42" s="38" t="str">
        <x:f>IF(B42="","",IF(B42&lt;$C$13,0,IF(B42&lt;=70,12%,IF(B42&lt;=75,15%,IF(B42&lt;=80,18%,IF(B42&lt;=85,21%,24%))))))</x:f>
      </x:c>
      <x:c r="E42" s="42" t="str">
        <x:f>IF(B42="","",ROUND(D42*$C$11,2))</x:f>
      </x:c>
      <x:c r="F42" s="37" t="str">
        <x:f>IF(B42="","",SUM($E$34:E42))</x:f>
      </x:c>
      <x:c r="G42" s="42" t="str">
        <x:f>IF(B42="","",IF(B42&lt;$C$13,IF(H42="",ROUND(105%*SUM($C$34:C42),2),IF(AND(ISNUMBER(H42),H42&gt;=0),MAX(ROUND(105%*SUM($C$34:C42),2),H42),"ตรวจมูลค่าเวนคืน")),MAX(0,ROUND(SUM($C$34:C42)-F42,2))))</x:f>
      </x:c>
      <x:c r="H42" s="65"/>
    </x:row>
    <x:row r="43" ht="23" customHeight="1">
      <x:c r="A43"/>
      <x:c r="B43" s="66" t="str">
        <x:f>IF($C$17&lt;&gt;"พร้อมคำนวณ","",IF($C$6+ROW()-34&gt;90,"",$C$6+ROW()-34))</x:f>
      </x:c>
      <x:c r="C43" s="67" t="str">
        <x:f>IF(B43="","",IF(B43-$C$6&lt;$C$12,$C$9,0))</x:f>
      </x:c>
      <x:c r="D43" s="68" t="str">
        <x:f>IF(B43="","",IF(B43&lt;$C$13,0,IF(B43&lt;=70,12%,IF(B43&lt;=75,15%,IF(B43&lt;=80,18%,IF(B43&lt;=85,21%,24%))))))</x:f>
      </x:c>
      <x:c r="E43" s="69" t="str">
        <x:f>IF(B43="","",ROUND(D43*$C$11,2))</x:f>
      </x:c>
      <x:c r="F43" s="67" t="str">
        <x:f>IF(B43="","",SUM($E$34:E43))</x:f>
      </x:c>
      <x:c r="G43" s="69" t="str">
        <x:f>IF(B43="","",IF(B43&lt;$C$13,IF(H43="",ROUND(105%*SUM($C$34:C43),2),IF(AND(ISNUMBER(H43),H43&gt;=0),MAX(ROUND(105%*SUM($C$34:C43),2),H43),"ตรวจมูลค่าเวนคืน")),MAX(0,ROUND(SUM($C$34:C43)-F43,2))))</x:f>
      </x:c>
      <x:c r="H43" s="65"/>
    </x:row>
    <x:row r="44" ht="23" customHeight="1">
      <x:c r="A44"/>
      <x:c r="B44" s="36" t="str">
        <x:f>IF($C$17&lt;&gt;"พร้อมคำนวณ","",IF($C$6+ROW()-34&gt;90,"",$C$6+ROW()-34))</x:f>
      </x:c>
      <x:c r="C44" s="37" t="str">
        <x:f>IF(B44="","",IF(B44-$C$6&lt;$C$12,$C$9,0))</x:f>
      </x:c>
      <x:c r="D44" s="38" t="str">
        <x:f>IF(B44="","",IF(B44&lt;$C$13,0,IF(B44&lt;=70,12%,IF(B44&lt;=75,15%,IF(B44&lt;=80,18%,IF(B44&lt;=85,21%,24%))))))</x:f>
      </x:c>
      <x:c r="E44" s="42" t="str">
        <x:f>IF(B44="","",ROUND(D44*$C$11,2))</x:f>
      </x:c>
      <x:c r="F44" s="37" t="str">
        <x:f>IF(B44="","",SUM($E$34:E44))</x:f>
      </x:c>
      <x:c r="G44" s="42" t="str">
        <x:f>IF(B44="","",IF(B44&lt;$C$13,IF(H44="",ROUND(105%*SUM($C$34:C44),2),IF(AND(ISNUMBER(H44),H44&gt;=0),MAX(ROUND(105%*SUM($C$34:C44),2),H44),"ตรวจมูลค่าเวนคืน")),MAX(0,ROUND(SUM($C$34:C44)-F44,2))))</x:f>
      </x:c>
      <x:c r="H44" s="65"/>
    </x:row>
    <x:row r="45" ht="23" customHeight="1">
      <x:c r="A45"/>
      <x:c r="B45" s="66" t="str">
        <x:f>IF($C$17&lt;&gt;"พร้อมคำนวณ","",IF($C$6+ROW()-34&gt;90,"",$C$6+ROW()-34))</x:f>
      </x:c>
      <x:c r="C45" s="67" t="str">
        <x:f>IF(B45="","",IF(B45-$C$6&lt;$C$12,$C$9,0))</x:f>
      </x:c>
      <x:c r="D45" s="68" t="str">
        <x:f>IF(B45="","",IF(B45&lt;$C$13,0,IF(B45&lt;=70,12%,IF(B45&lt;=75,15%,IF(B45&lt;=80,18%,IF(B45&lt;=85,21%,24%))))))</x:f>
      </x:c>
      <x:c r="E45" s="69" t="str">
        <x:f>IF(B45="","",ROUND(D45*$C$11,2))</x:f>
      </x:c>
      <x:c r="F45" s="67" t="str">
        <x:f>IF(B45="","",SUM($E$34:E45))</x:f>
      </x:c>
      <x:c r="G45" s="69" t="str">
        <x:f>IF(B45="","",IF(B45&lt;$C$13,IF(H45="",ROUND(105%*SUM($C$34:C45),2),IF(AND(ISNUMBER(H45),H45&gt;=0),MAX(ROUND(105%*SUM($C$34:C45),2),H45),"ตรวจมูลค่าเวนคืน")),MAX(0,ROUND(SUM($C$34:C45)-F45,2))))</x:f>
      </x:c>
      <x:c r="H45" s="65"/>
    </x:row>
    <x:row r="46" ht="23" customHeight="1">
      <x:c r="A46"/>
      <x:c r="B46" s="36" t="str">
        <x:f>IF($C$17&lt;&gt;"พร้อมคำนวณ","",IF($C$6+ROW()-34&gt;90,"",$C$6+ROW()-34))</x:f>
      </x:c>
      <x:c r="C46" s="37" t="str">
        <x:f>IF(B46="","",IF(B46-$C$6&lt;$C$12,$C$9,0))</x:f>
      </x:c>
      <x:c r="D46" s="38" t="str">
        <x:f>IF(B46="","",IF(B46&lt;$C$13,0,IF(B46&lt;=70,12%,IF(B46&lt;=75,15%,IF(B46&lt;=80,18%,IF(B46&lt;=85,21%,24%))))))</x:f>
      </x:c>
      <x:c r="E46" s="42" t="str">
        <x:f>IF(B46="","",ROUND(D46*$C$11,2))</x:f>
      </x:c>
      <x:c r="F46" s="37" t="str">
        <x:f>IF(B46="","",SUM($E$34:E46))</x:f>
      </x:c>
      <x:c r="G46" s="42" t="str">
        <x:f>IF(B46="","",IF(B46&lt;$C$13,IF(H46="",ROUND(105%*SUM($C$34:C46),2),IF(AND(ISNUMBER(H46),H46&gt;=0),MAX(ROUND(105%*SUM($C$34:C46),2),H46),"ตรวจมูลค่าเวนคืน")),MAX(0,ROUND(SUM($C$34:C46)-F46,2))))</x:f>
      </x:c>
      <x:c r="H46" s="65"/>
    </x:row>
    <x:row r="47" ht="23" customHeight="1">
      <x:c r="A47"/>
      <x:c r="B47" s="66" t="str">
        <x:f>IF($C$17&lt;&gt;"พร้อมคำนวณ","",IF($C$6+ROW()-34&gt;90,"",$C$6+ROW()-34))</x:f>
      </x:c>
      <x:c r="C47" s="67" t="str">
        <x:f>IF(B47="","",IF(B47-$C$6&lt;$C$12,$C$9,0))</x:f>
      </x:c>
      <x:c r="D47" s="68" t="str">
        <x:f>IF(B47="","",IF(B47&lt;$C$13,0,IF(B47&lt;=70,12%,IF(B47&lt;=75,15%,IF(B47&lt;=80,18%,IF(B47&lt;=85,21%,24%))))))</x:f>
      </x:c>
      <x:c r="E47" s="69" t="str">
        <x:f>IF(B47="","",ROUND(D47*$C$11,2))</x:f>
      </x:c>
      <x:c r="F47" s="67" t="str">
        <x:f>IF(B47="","",SUM($E$34:E47))</x:f>
      </x:c>
      <x:c r="G47" s="69" t="str">
        <x:f>IF(B47="","",IF(B47&lt;$C$13,IF(H47="",ROUND(105%*SUM($C$34:C47),2),IF(AND(ISNUMBER(H47),H47&gt;=0),MAX(ROUND(105%*SUM($C$34:C47),2),H47),"ตรวจมูลค่าเวนคืน")),MAX(0,ROUND(SUM($C$34:C47)-F47,2))))</x:f>
      </x:c>
      <x:c r="H47" s="65"/>
    </x:row>
    <x:row r="48" ht="23" customHeight="1">
      <x:c r="A48"/>
      <x:c r="B48" s="36" t="str">
        <x:f>IF($C$17&lt;&gt;"พร้อมคำนวณ","",IF($C$6+ROW()-34&gt;90,"",$C$6+ROW()-34))</x:f>
      </x:c>
      <x:c r="C48" s="37" t="str">
        <x:f>IF(B48="","",IF(B48-$C$6&lt;$C$12,$C$9,0))</x:f>
      </x:c>
      <x:c r="D48" s="38" t="str">
        <x:f>IF(B48="","",IF(B48&lt;$C$13,0,IF(B48&lt;=70,12%,IF(B48&lt;=75,15%,IF(B48&lt;=80,18%,IF(B48&lt;=85,21%,24%))))))</x:f>
      </x:c>
      <x:c r="E48" s="42" t="str">
        <x:f>IF(B48="","",ROUND(D48*$C$11,2))</x:f>
      </x:c>
      <x:c r="F48" s="37" t="str">
        <x:f>IF(B48="","",SUM($E$34:E48))</x:f>
      </x:c>
      <x:c r="G48" s="42" t="str">
        <x:f>IF(B48="","",IF(B48&lt;$C$13,IF(H48="",ROUND(105%*SUM($C$34:C48),2),IF(AND(ISNUMBER(H48),H48&gt;=0),MAX(ROUND(105%*SUM($C$34:C48),2),H48),"ตรวจมูลค่าเวนคืน")),MAX(0,ROUND(SUM($C$34:C48)-F48,2))))</x:f>
      </x:c>
      <x:c r="H48" s="65"/>
    </x:row>
    <x:row r="49" ht="23" customHeight="1">
      <x:c r="A49"/>
      <x:c r="B49" s="66" t="str">
        <x:f>IF($C$17&lt;&gt;"พร้อมคำนวณ","",IF($C$6+ROW()-34&gt;90,"",$C$6+ROW()-34))</x:f>
      </x:c>
      <x:c r="C49" s="67" t="str">
        <x:f>IF(B49="","",IF(B49-$C$6&lt;$C$12,$C$9,0))</x:f>
      </x:c>
      <x:c r="D49" s="68" t="str">
        <x:f>IF(B49="","",IF(B49&lt;$C$13,0,IF(B49&lt;=70,12%,IF(B49&lt;=75,15%,IF(B49&lt;=80,18%,IF(B49&lt;=85,21%,24%))))))</x:f>
      </x:c>
      <x:c r="E49" s="69" t="str">
        <x:f>IF(B49="","",ROUND(D49*$C$11,2))</x:f>
      </x:c>
      <x:c r="F49" s="67" t="str">
        <x:f>IF(B49="","",SUM($E$34:E49))</x:f>
      </x:c>
      <x:c r="G49" s="69" t="str">
        <x:f>IF(B49="","",IF(B49&lt;$C$13,IF(H49="",ROUND(105%*SUM($C$34:C49),2),IF(AND(ISNUMBER(H49),H49&gt;=0),MAX(ROUND(105%*SUM($C$34:C49),2),H49),"ตรวจมูลค่าเวนคืน")),MAX(0,ROUND(SUM($C$34:C49)-F49,2))))</x:f>
      </x:c>
      <x:c r="H49" s="65"/>
    </x:row>
    <x:row r="50" ht="23" customHeight="1">
      <x:c r="A50"/>
      <x:c r="B50" s="36" t="str">
        <x:f>IF($C$17&lt;&gt;"พร้อมคำนวณ","",IF($C$6+ROW()-34&gt;90,"",$C$6+ROW()-34))</x:f>
      </x:c>
      <x:c r="C50" s="37" t="str">
        <x:f>IF(B50="","",IF(B50-$C$6&lt;$C$12,$C$9,0))</x:f>
      </x:c>
      <x:c r="D50" s="38" t="str">
        <x:f>IF(B50="","",IF(B50&lt;$C$13,0,IF(B50&lt;=70,12%,IF(B50&lt;=75,15%,IF(B50&lt;=80,18%,IF(B50&lt;=85,21%,24%))))))</x:f>
      </x:c>
      <x:c r="E50" s="42" t="str">
        <x:f>IF(B50="","",ROUND(D50*$C$11,2))</x:f>
      </x:c>
      <x:c r="F50" s="37" t="str">
        <x:f>IF(B50="","",SUM($E$34:E50))</x:f>
      </x:c>
      <x:c r="G50" s="42" t="str">
        <x:f>IF(B50="","",IF(B50&lt;$C$13,IF(H50="",ROUND(105%*SUM($C$34:C50),2),IF(AND(ISNUMBER(H50),H50&gt;=0),MAX(ROUND(105%*SUM($C$34:C50),2),H50),"ตรวจมูลค่าเวนคืน")),MAX(0,ROUND(SUM($C$34:C50)-F50,2))))</x:f>
      </x:c>
      <x:c r="H50" s="65"/>
    </x:row>
    <x:row r="51" ht="23" customHeight="1">
      <x:c r="A51"/>
      <x:c r="B51" s="66" t="str">
        <x:f>IF($C$17&lt;&gt;"พร้อมคำนวณ","",IF($C$6+ROW()-34&gt;90,"",$C$6+ROW()-34))</x:f>
      </x:c>
      <x:c r="C51" s="67" t="str">
        <x:f>IF(B51="","",IF(B51-$C$6&lt;$C$12,$C$9,0))</x:f>
      </x:c>
      <x:c r="D51" s="68" t="str">
        <x:f>IF(B51="","",IF(B51&lt;$C$13,0,IF(B51&lt;=70,12%,IF(B51&lt;=75,15%,IF(B51&lt;=80,18%,IF(B51&lt;=85,21%,24%))))))</x:f>
      </x:c>
      <x:c r="E51" s="69" t="str">
        <x:f>IF(B51="","",ROUND(D51*$C$11,2))</x:f>
      </x:c>
      <x:c r="F51" s="67" t="str">
        <x:f>IF(B51="","",SUM($E$34:E51))</x:f>
      </x:c>
      <x:c r="G51" s="69" t="str">
        <x:f>IF(B51="","",IF(B51&lt;$C$13,IF(H51="",ROUND(105%*SUM($C$34:C51),2),IF(AND(ISNUMBER(H51),H51&gt;=0),MAX(ROUND(105%*SUM($C$34:C51),2),H51),"ตรวจมูลค่าเวนคืน")),MAX(0,ROUND(SUM($C$34:C51)-F51,2))))</x:f>
      </x:c>
      <x:c r="H51" s="65"/>
    </x:row>
    <x:row r="52" ht="23" customHeight="1">
      <x:c r="A52"/>
      <x:c r="B52" s="36" t="str">
        <x:f>IF($C$17&lt;&gt;"พร้อมคำนวณ","",IF($C$6+ROW()-34&gt;90,"",$C$6+ROW()-34))</x:f>
      </x:c>
      <x:c r="C52" s="37" t="str">
        <x:f>IF(B52="","",IF(B52-$C$6&lt;$C$12,$C$9,0))</x:f>
      </x:c>
      <x:c r="D52" s="38" t="str">
        <x:f>IF(B52="","",IF(B52&lt;$C$13,0,IF(B52&lt;=70,12%,IF(B52&lt;=75,15%,IF(B52&lt;=80,18%,IF(B52&lt;=85,21%,24%))))))</x:f>
      </x:c>
      <x:c r="E52" s="42" t="str">
        <x:f>IF(B52="","",ROUND(D52*$C$11,2))</x:f>
      </x:c>
      <x:c r="F52" s="37" t="str">
        <x:f>IF(B52="","",SUM($E$34:E52))</x:f>
      </x:c>
      <x:c r="G52" s="42" t="str">
        <x:f>IF(B52="","",IF(B52&lt;$C$13,IF(H52="",ROUND(105%*SUM($C$34:C52),2),IF(AND(ISNUMBER(H52),H52&gt;=0),MAX(ROUND(105%*SUM($C$34:C52),2),H52),"ตรวจมูลค่าเวนคืน")),MAX(0,ROUND(SUM($C$34:C52)-F52,2))))</x:f>
      </x:c>
      <x:c r="H52" s="65"/>
    </x:row>
    <x:row r="53" ht="23" customHeight="1">
      <x:c r="A53"/>
      <x:c r="B53" s="66" t="str">
        <x:f>IF($C$17&lt;&gt;"พร้อมคำนวณ","",IF($C$6+ROW()-34&gt;90,"",$C$6+ROW()-34))</x:f>
      </x:c>
      <x:c r="C53" s="67" t="str">
        <x:f>IF(B53="","",IF(B53-$C$6&lt;$C$12,$C$9,0))</x:f>
      </x:c>
      <x:c r="D53" s="68" t="str">
        <x:f>IF(B53="","",IF(B53&lt;$C$13,0,IF(B53&lt;=70,12%,IF(B53&lt;=75,15%,IF(B53&lt;=80,18%,IF(B53&lt;=85,21%,24%))))))</x:f>
      </x:c>
      <x:c r="E53" s="69" t="str">
        <x:f>IF(B53="","",ROUND(D53*$C$11,2))</x:f>
      </x:c>
      <x:c r="F53" s="67" t="str">
        <x:f>IF(B53="","",SUM($E$34:E53))</x:f>
      </x:c>
      <x:c r="G53" s="69" t="str">
        <x:f>IF(B53="","",IF(B53&lt;$C$13,IF(H53="",ROUND(105%*SUM($C$34:C53),2),IF(AND(ISNUMBER(H53),H53&gt;=0),MAX(ROUND(105%*SUM($C$34:C53),2),H53),"ตรวจมูลค่าเวนคืน")),MAX(0,ROUND(SUM($C$34:C53)-F53,2))))</x:f>
      </x:c>
      <x:c r="H53" s="65"/>
    </x:row>
    <x:row r="54" ht="23" customHeight="1">
      <x:c r="A54"/>
      <x:c r="B54" s="36" t="str">
        <x:f>IF($C$17&lt;&gt;"พร้อมคำนวณ","",IF($C$6+ROW()-34&gt;90,"",$C$6+ROW()-34))</x:f>
      </x:c>
      <x:c r="C54" s="37" t="str">
        <x:f>IF(B54="","",IF(B54-$C$6&lt;$C$12,$C$9,0))</x:f>
      </x:c>
      <x:c r="D54" s="38" t="str">
        <x:f>IF(B54="","",IF(B54&lt;$C$13,0,IF(B54&lt;=70,12%,IF(B54&lt;=75,15%,IF(B54&lt;=80,18%,IF(B54&lt;=85,21%,24%))))))</x:f>
      </x:c>
      <x:c r="E54" s="42" t="str">
        <x:f>IF(B54="","",ROUND(D54*$C$11,2))</x:f>
      </x:c>
      <x:c r="F54" s="37" t="str">
        <x:f>IF(B54="","",SUM($E$34:E54))</x:f>
      </x:c>
      <x:c r="G54" s="42" t="str">
        <x:f>IF(B54="","",IF(B54&lt;$C$13,IF(H54="",ROUND(105%*SUM($C$34:C54),2),IF(AND(ISNUMBER(H54),H54&gt;=0),MAX(ROUND(105%*SUM($C$34:C54),2),H54),"ตรวจมูลค่าเวนคืน")),MAX(0,ROUND(SUM($C$34:C54)-F54,2))))</x:f>
      </x:c>
      <x:c r="H54" s="65"/>
    </x:row>
    <x:row r="55" ht="23" customHeight="1">
      <x:c r="A55"/>
      <x:c r="B55" s="66" t="str">
        <x:f>IF($C$17&lt;&gt;"พร้อมคำนวณ","",IF($C$6+ROW()-34&gt;90,"",$C$6+ROW()-34))</x:f>
      </x:c>
      <x:c r="C55" s="67" t="str">
        <x:f>IF(B55="","",IF(B55-$C$6&lt;$C$12,$C$9,0))</x:f>
      </x:c>
      <x:c r="D55" s="68" t="str">
        <x:f>IF(B55="","",IF(B55&lt;$C$13,0,IF(B55&lt;=70,12%,IF(B55&lt;=75,15%,IF(B55&lt;=80,18%,IF(B55&lt;=85,21%,24%))))))</x:f>
      </x:c>
      <x:c r="E55" s="69" t="str">
        <x:f>IF(B55="","",ROUND(D55*$C$11,2))</x:f>
      </x:c>
      <x:c r="F55" s="67" t="str">
        <x:f>IF(B55="","",SUM($E$34:E55))</x:f>
      </x:c>
      <x:c r="G55" s="69" t="str">
        <x:f>IF(B55="","",IF(B55&lt;$C$13,IF(H55="",ROUND(105%*SUM($C$34:C55),2),IF(AND(ISNUMBER(H55),H55&gt;=0),MAX(ROUND(105%*SUM($C$34:C55),2),H55),"ตรวจมูลค่าเวนคืน")),MAX(0,ROUND(SUM($C$34:C55)-F55,2))))</x:f>
      </x:c>
      <x:c r="H55" s="65"/>
    </x:row>
    <x:row r="56" ht="23" customHeight="1">
      <x:c r="A56"/>
      <x:c r="B56" s="36" t="str">
        <x:f>IF($C$17&lt;&gt;"พร้อมคำนวณ","",IF($C$6+ROW()-34&gt;90,"",$C$6+ROW()-34))</x:f>
      </x:c>
      <x:c r="C56" s="37" t="str">
        <x:f>IF(B56="","",IF(B56-$C$6&lt;$C$12,$C$9,0))</x:f>
      </x:c>
      <x:c r="D56" s="38" t="str">
        <x:f>IF(B56="","",IF(B56&lt;$C$13,0,IF(B56&lt;=70,12%,IF(B56&lt;=75,15%,IF(B56&lt;=80,18%,IF(B56&lt;=85,21%,24%))))))</x:f>
      </x:c>
      <x:c r="E56" s="42" t="str">
        <x:f>IF(B56="","",ROUND(D56*$C$11,2))</x:f>
      </x:c>
      <x:c r="F56" s="37" t="str">
        <x:f>IF(B56="","",SUM($E$34:E56))</x:f>
      </x:c>
      <x:c r="G56" s="42" t="str">
        <x:f>IF(B56="","",IF(B56&lt;$C$13,IF(H56="",ROUND(105%*SUM($C$34:C56),2),IF(AND(ISNUMBER(H56),H56&gt;=0),MAX(ROUND(105%*SUM($C$34:C56),2),H56),"ตรวจมูลค่าเวนคืน")),MAX(0,ROUND(SUM($C$34:C56)-F56,2))))</x:f>
      </x:c>
      <x:c r="H56" s="65"/>
    </x:row>
    <x:row r="57" ht="23" customHeight="1">
      <x:c r="A57"/>
      <x:c r="B57" s="66" t="str">
        <x:f>IF($C$17&lt;&gt;"พร้อมคำนวณ","",IF($C$6+ROW()-34&gt;90,"",$C$6+ROW()-34))</x:f>
      </x:c>
      <x:c r="C57" s="67" t="str">
        <x:f>IF(B57="","",IF(B57-$C$6&lt;$C$12,$C$9,0))</x:f>
      </x:c>
      <x:c r="D57" s="68" t="str">
        <x:f>IF(B57="","",IF(B57&lt;$C$13,0,IF(B57&lt;=70,12%,IF(B57&lt;=75,15%,IF(B57&lt;=80,18%,IF(B57&lt;=85,21%,24%))))))</x:f>
      </x:c>
      <x:c r="E57" s="69" t="str">
        <x:f>IF(B57="","",ROUND(D57*$C$11,2))</x:f>
      </x:c>
      <x:c r="F57" s="67" t="str">
        <x:f>IF(B57="","",SUM($E$34:E57))</x:f>
      </x:c>
      <x:c r="G57" s="69" t="str">
        <x:f>IF(B57="","",IF(B57&lt;$C$13,IF(H57="",ROUND(105%*SUM($C$34:C57),2),IF(AND(ISNUMBER(H57),H57&gt;=0),MAX(ROUND(105%*SUM($C$34:C57),2),H57),"ตรวจมูลค่าเวนคืน")),MAX(0,ROUND(SUM($C$34:C57)-F57,2))))</x:f>
      </x:c>
      <x:c r="H57" s="65"/>
    </x:row>
    <x:row r="58" ht="23" customHeight="1">
      <x:c r="A58"/>
      <x:c r="B58" s="36" t="str">
        <x:f>IF($C$17&lt;&gt;"พร้อมคำนวณ","",IF($C$6+ROW()-34&gt;90,"",$C$6+ROW()-34))</x:f>
      </x:c>
      <x:c r="C58" s="37" t="str">
        <x:f>IF(B58="","",IF(B58-$C$6&lt;$C$12,$C$9,0))</x:f>
      </x:c>
      <x:c r="D58" s="38" t="str">
        <x:f>IF(B58="","",IF(B58&lt;$C$13,0,IF(B58&lt;=70,12%,IF(B58&lt;=75,15%,IF(B58&lt;=80,18%,IF(B58&lt;=85,21%,24%))))))</x:f>
      </x:c>
      <x:c r="E58" s="42" t="str">
        <x:f>IF(B58="","",ROUND(D58*$C$11,2))</x:f>
      </x:c>
      <x:c r="F58" s="37" t="str">
        <x:f>IF(B58="","",SUM($E$34:E58))</x:f>
      </x:c>
      <x:c r="G58" s="42" t="str">
        <x:f>IF(B58="","",IF(B58&lt;$C$13,IF(H58="",ROUND(105%*SUM($C$34:C58),2),IF(AND(ISNUMBER(H58),H58&gt;=0),MAX(ROUND(105%*SUM($C$34:C58),2),H58),"ตรวจมูลค่าเวนคืน")),MAX(0,ROUND(SUM($C$34:C58)-F58,2))))</x:f>
      </x:c>
      <x:c r="H58" s="65"/>
    </x:row>
    <x:row r="59" ht="23" customHeight="1">
      <x:c r="A59"/>
      <x:c r="B59" s="66" t="str">
        <x:f>IF($C$17&lt;&gt;"พร้อมคำนวณ","",IF($C$6+ROW()-34&gt;90,"",$C$6+ROW()-34))</x:f>
      </x:c>
      <x:c r="C59" s="67" t="str">
        <x:f>IF(B59="","",IF(B59-$C$6&lt;$C$12,$C$9,0))</x:f>
      </x:c>
      <x:c r="D59" s="68" t="str">
        <x:f>IF(B59="","",IF(B59&lt;$C$13,0,IF(B59&lt;=70,12%,IF(B59&lt;=75,15%,IF(B59&lt;=80,18%,IF(B59&lt;=85,21%,24%))))))</x:f>
      </x:c>
      <x:c r="E59" s="69" t="str">
        <x:f>IF(B59="","",ROUND(D59*$C$11,2))</x:f>
      </x:c>
      <x:c r="F59" s="67" t="str">
        <x:f>IF(B59="","",SUM($E$34:E59))</x:f>
      </x:c>
      <x:c r="G59" s="69" t="str">
        <x:f>IF(B59="","",IF(B59&lt;$C$13,IF(H59="",ROUND(105%*SUM($C$34:C59),2),IF(AND(ISNUMBER(H59),H59&gt;=0),MAX(ROUND(105%*SUM($C$34:C59),2),H59),"ตรวจมูลค่าเวนคืน")),MAX(0,ROUND(SUM($C$34:C59)-F59,2))))</x:f>
      </x:c>
      <x:c r="H59" s="65"/>
    </x:row>
    <x:row r="60" ht="23" customHeight="1">
      <x:c r="A60"/>
      <x:c r="B60" s="36" t="str">
        <x:f>IF($C$17&lt;&gt;"พร้อมคำนวณ","",IF($C$6+ROW()-34&gt;90,"",$C$6+ROW()-34))</x:f>
      </x:c>
      <x:c r="C60" s="37" t="str">
        <x:f>IF(B60="","",IF(B60-$C$6&lt;$C$12,$C$9,0))</x:f>
      </x:c>
      <x:c r="D60" s="38" t="str">
        <x:f>IF(B60="","",IF(B60&lt;$C$13,0,IF(B60&lt;=70,12%,IF(B60&lt;=75,15%,IF(B60&lt;=80,18%,IF(B60&lt;=85,21%,24%))))))</x:f>
      </x:c>
      <x:c r="E60" s="42" t="str">
        <x:f>IF(B60="","",ROUND(D60*$C$11,2))</x:f>
      </x:c>
      <x:c r="F60" s="37" t="str">
        <x:f>IF(B60="","",SUM($E$34:E60))</x:f>
      </x:c>
      <x:c r="G60" s="42" t="str">
        <x:f>IF(B60="","",IF(B60&lt;$C$13,IF(H60="",ROUND(105%*SUM($C$34:C60),2),IF(AND(ISNUMBER(H60),H60&gt;=0),MAX(ROUND(105%*SUM($C$34:C60),2),H60),"ตรวจมูลค่าเวนคืน")),MAX(0,ROUND(SUM($C$34:C60)-F60,2))))</x:f>
      </x:c>
      <x:c r="H60" s="65"/>
    </x:row>
    <x:row r="61" ht="23" customHeight="1">
      <x:c r="A61"/>
      <x:c r="B61" s="66" t="str">
        <x:f>IF($C$17&lt;&gt;"พร้อมคำนวณ","",IF($C$6+ROW()-34&gt;90,"",$C$6+ROW()-34))</x:f>
      </x:c>
      <x:c r="C61" s="67" t="str">
        <x:f>IF(B61="","",IF(B61-$C$6&lt;$C$12,$C$9,0))</x:f>
      </x:c>
      <x:c r="D61" s="68" t="str">
        <x:f>IF(B61="","",IF(B61&lt;$C$13,0,IF(B61&lt;=70,12%,IF(B61&lt;=75,15%,IF(B61&lt;=80,18%,IF(B61&lt;=85,21%,24%))))))</x:f>
      </x:c>
      <x:c r="E61" s="69" t="str">
        <x:f>IF(B61="","",ROUND(D61*$C$11,2))</x:f>
      </x:c>
      <x:c r="F61" s="67" t="str">
        <x:f>IF(B61="","",SUM($E$34:E61))</x:f>
      </x:c>
      <x:c r="G61" s="69" t="str">
        <x:f>IF(B61="","",IF(B61&lt;$C$13,IF(H61="",ROUND(105%*SUM($C$34:C61),2),IF(AND(ISNUMBER(H61),H61&gt;=0),MAX(ROUND(105%*SUM($C$34:C61),2),H61),"ตรวจมูลค่าเวนคืน")),MAX(0,ROUND(SUM($C$34:C61)-F61,2))))</x:f>
      </x:c>
      <x:c r="H61" s="65"/>
    </x:row>
    <x:row r="62" ht="23" customHeight="1">
      <x:c r="A62"/>
      <x:c r="B62" s="36" t="str">
        <x:f>IF($C$17&lt;&gt;"พร้อมคำนวณ","",IF($C$6+ROW()-34&gt;90,"",$C$6+ROW()-34))</x:f>
      </x:c>
      <x:c r="C62" s="37" t="str">
        <x:f>IF(B62="","",IF(B62-$C$6&lt;$C$12,$C$9,0))</x:f>
      </x:c>
      <x:c r="D62" s="38" t="str">
        <x:f>IF(B62="","",IF(B62&lt;$C$13,0,IF(B62&lt;=70,12%,IF(B62&lt;=75,15%,IF(B62&lt;=80,18%,IF(B62&lt;=85,21%,24%))))))</x:f>
      </x:c>
      <x:c r="E62" s="42" t="str">
        <x:f>IF(B62="","",ROUND(D62*$C$11,2))</x:f>
      </x:c>
      <x:c r="F62" s="37" t="str">
        <x:f>IF(B62="","",SUM($E$34:E62))</x:f>
      </x:c>
      <x:c r="G62" s="42" t="str">
        <x:f>IF(B62="","",IF(B62&lt;$C$13,IF(H62="",ROUND(105%*SUM($C$34:C62),2),IF(AND(ISNUMBER(H62),H62&gt;=0),MAX(ROUND(105%*SUM($C$34:C62),2),H62),"ตรวจมูลค่าเวนคืน")),MAX(0,ROUND(SUM($C$34:C62)-F62,2))))</x:f>
      </x:c>
      <x:c r="H62" s="65"/>
    </x:row>
    <x:row r="63" ht="23" customHeight="1">
      <x:c r="A63"/>
      <x:c r="B63" s="66" t="str">
        <x:f>IF($C$17&lt;&gt;"พร้อมคำนวณ","",IF($C$6+ROW()-34&gt;90,"",$C$6+ROW()-34))</x:f>
      </x:c>
      <x:c r="C63" s="67" t="str">
        <x:f>IF(B63="","",IF(B63-$C$6&lt;$C$12,$C$9,0))</x:f>
      </x:c>
      <x:c r="D63" s="68" t="str">
        <x:f>IF(B63="","",IF(B63&lt;$C$13,0,IF(B63&lt;=70,12%,IF(B63&lt;=75,15%,IF(B63&lt;=80,18%,IF(B63&lt;=85,21%,24%))))))</x:f>
      </x:c>
      <x:c r="E63" s="69" t="str">
        <x:f>IF(B63="","",ROUND(D63*$C$11,2))</x:f>
      </x:c>
      <x:c r="F63" s="67" t="str">
        <x:f>IF(B63="","",SUM($E$34:E63))</x:f>
      </x:c>
      <x:c r="G63" s="69" t="str">
        <x:f>IF(B63="","",IF(B63&lt;$C$13,IF(H63="",ROUND(105%*SUM($C$34:C63),2),IF(AND(ISNUMBER(H63),H63&gt;=0),MAX(ROUND(105%*SUM($C$34:C63),2),H63),"ตรวจมูลค่าเวนคืน")),MAX(0,ROUND(SUM($C$34:C63)-F63,2))))</x:f>
      </x:c>
      <x:c r="H63" s="65"/>
    </x:row>
    <x:row r="64" ht="23" customHeight="1">
      <x:c r="A64"/>
      <x:c r="B64" s="36" t="str">
        <x:f>IF($C$17&lt;&gt;"พร้อมคำนวณ","",IF($C$6+ROW()-34&gt;90,"",$C$6+ROW()-34))</x:f>
      </x:c>
      <x:c r="C64" s="37" t="str">
        <x:f>IF(B64="","",IF(B64-$C$6&lt;$C$12,$C$9,0))</x:f>
      </x:c>
      <x:c r="D64" s="38" t="str">
        <x:f>IF(B64="","",IF(B64&lt;$C$13,0,IF(B64&lt;=70,12%,IF(B64&lt;=75,15%,IF(B64&lt;=80,18%,IF(B64&lt;=85,21%,24%))))))</x:f>
      </x:c>
      <x:c r="E64" s="42" t="str">
        <x:f>IF(B64="","",ROUND(D64*$C$11,2))</x:f>
      </x:c>
      <x:c r="F64" s="37" t="str">
        <x:f>IF(B64="","",SUM($E$34:E64))</x:f>
      </x:c>
      <x:c r="G64" s="42" t="str">
        <x:f>IF(B64="","",IF(B64&lt;$C$13,IF(H64="",ROUND(105%*SUM($C$34:C64),2),IF(AND(ISNUMBER(H64),H64&gt;=0),MAX(ROUND(105%*SUM($C$34:C64),2),H64),"ตรวจมูลค่าเวนคืน")),MAX(0,ROUND(SUM($C$34:C64)-F64,2))))</x:f>
      </x:c>
      <x:c r="H64" s="65"/>
    </x:row>
    <x:row r="65" ht="23" customHeight="1">
      <x:c r="A65"/>
      <x:c r="B65" s="66" t="str">
        <x:f>IF($C$17&lt;&gt;"พร้อมคำนวณ","",IF($C$6+ROW()-34&gt;90,"",$C$6+ROW()-34))</x:f>
      </x:c>
      <x:c r="C65" s="67" t="str">
        <x:f>IF(B65="","",IF(B65-$C$6&lt;$C$12,$C$9,0))</x:f>
      </x:c>
      <x:c r="D65" s="68" t="str">
        <x:f>IF(B65="","",IF(B65&lt;$C$13,0,IF(B65&lt;=70,12%,IF(B65&lt;=75,15%,IF(B65&lt;=80,18%,IF(B65&lt;=85,21%,24%))))))</x:f>
      </x:c>
      <x:c r="E65" s="69" t="str">
        <x:f>IF(B65="","",ROUND(D65*$C$11,2))</x:f>
      </x:c>
      <x:c r="F65" s="67" t="str">
        <x:f>IF(B65="","",SUM($E$34:E65))</x:f>
      </x:c>
      <x:c r="G65" s="69" t="str">
        <x:f>IF(B65="","",IF(B65&lt;$C$13,IF(H65="",ROUND(105%*SUM($C$34:C65),2),IF(AND(ISNUMBER(H65),H65&gt;=0),MAX(ROUND(105%*SUM($C$34:C65),2),H65),"ตรวจมูลค่าเวนคืน")),MAX(0,ROUND(SUM($C$34:C65)-F65,2))))</x:f>
      </x:c>
      <x:c r="H65" s="65"/>
    </x:row>
    <x:row r="66" ht="23" customHeight="1">
      <x:c r="A66"/>
      <x:c r="B66" s="36" t="str">
        <x:f>IF($C$17&lt;&gt;"พร้อมคำนวณ","",IF($C$6+ROW()-34&gt;90,"",$C$6+ROW()-34))</x:f>
      </x:c>
      <x:c r="C66" s="37" t="str">
        <x:f>IF(B66="","",IF(B66-$C$6&lt;$C$12,$C$9,0))</x:f>
      </x:c>
      <x:c r="D66" s="38" t="str">
        <x:f>IF(B66="","",IF(B66&lt;$C$13,0,IF(B66&lt;=70,12%,IF(B66&lt;=75,15%,IF(B66&lt;=80,18%,IF(B66&lt;=85,21%,24%))))))</x:f>
      </x:c>
      <x:c r="E66" s="42" t="str">
        <x:f>IF(B66="","",ROUND(D66*$C$11,2))</x:f>
      </x:c>
      <x:c r="F66" s="37" t="str">
        <x:f>IF(B66="","",SUM($E$34:E66))</x:f>
      </x:c>
      <x:c r="G66" s="42" t="str">
        <x:f>IF(B66="","",IF(B66&lt;$C$13,IF(H66="",ROUND(105%*SUM($C$34:C66),2),IF(AND(ISNUMBER(H66),H66&gt;=0),MAX(ROUND(105%*SUM($C$34:C66),2),H66),"ตรวจมูลค่าเวนคืน")),MAX(0,ROUND(SUM($C$34:C66)-F66,2))))</x:f>
      </x:c>
      <x:c r="H66" s="65"/>
    </x:row>
    <x:row r="67" ht="23" customHeight="1">
      <x:c r="A67"/>
      <x:c r="B67" s="66" t="str">
        <x:f>IF($C$17&lt;&gt;"พร้อมคำนวณ","",IF($C$6+ROW()-34&gt;90,"",$C$6+ROW()-34))</x:f>
      </x:c>
      <x:c r="C67" s="67" t="str">
        <x:f>IF(B67="","",IF(B67-$C$6&lt;$C$12,$C$9,0))</x:f>
      </x:c>
      <x:c r="D67" s="68" t="str">
        <x:f>IF(B67="","",IF(B67&lt;$C$13,0,IF(B67&lt;=70,12%,IF(B67&lt;=75,15%,IF(B67&lt;=80,18%,IF(B67&lt;=85,21%,24%))))))</x:f>
      </x:c>
      <x:c r="E67" s="69" t="str">
        <x:f>IF(B67="","",ROUND(D67*$C$11,2))</x:f>
      </x:c>
      <x:c r="F67" s="67" t="str">
        <x:f>IF(B67="","",SUM($E$34:E67))</x:f>
      </x:c>
      <x:c r="G67" s="69" t="str">
        <x:f>IF(B67="","",IF(B67&lt;$C$13,IF(H67="",ROUND(105%*SUM($C$34:C67),2),IF(AND(ISNUMBER(H67),H67&gt;=0),MAX(ROUND(105%*SUM($C$34:C67),2),H67),"ตรวจมูลค่าเวนคืน")),MAX(0,ROUND(SUM($C$34:C67)-F67,2))))</x:f>
      </x:c>
      <x:c r="H67" s="65"/>
    </x:row>
    <x:row r="68" ht="23" customHeight="1">
      <x:c r="A68"/>
      <x:c r="B68" s="36" t="str">
        <x:f>IF($C$17&lt;&gt;"พร้อมคำนวณ","",IF($C$6+ROW()-34&gt;90,"",$C$6+ROW()-34))</x:f>
      </x:c>
      <x:c r="C68" s="37" t="str">
        <x:f>IF(B68="","",IF(B68-$C$6&lt;$C$12,$C$9,0))</x:f>
      </x:c>
      <x:c r="D68" s="38" t="str">
        <x:f>IF(B68="","",IF(B68&lt;$C$13,0,IF(B68&lt;=70,12%,IF(B68&lt;=75,15%,IF(B68&lt;=80,18%,IF(B68&lt;=85,21%,24%))))))</x:f>
      </x:c>
      <x:c r="E68" s="42" t="str">
        <x:f>IF(B68="","",ROUND(D68*$C$11,2))</x:f>
      </x:c>
      <x:c r="F68" s="37" t="str">
        <x:f>IF(B68="","",SUM($E$34:E68))</x:f>
      </x:c>
      <x:c r="G68" s="42" t="str">
        <x:f>IF(B68="","",IF(B68&lt;$C$13,IF(H68="",ROUND(105%*SUM($C$34:C68),2),IF(AND(ISNUMBER(H68),H68&gt;=0),MAX(ROUND(105%*SUM($C$34:C68),2),H68),"ตรวจมูลค่าเวนคืน")),MAX(0,ROUND(SUM($C$34:C68)-F68,2))))</x:f>
      </x:c>
      <x:c r="H68" s="65"/>
    </x:row>
    <x:row r="69" ht="23" customHeight="1">
      <x:c r="A69"/>
      <x:c r="B69" s="66" t="str">
        <x:f>IF($C$17&lt;&gt;"พร้อมคำนวณ","",IF($C$6+ROW()-34&gt;90,"",$C$6+ROW()-34))</x:f>
      </x:c>
      <x:c r="C69" s="67" t="str">
        <x:f>IF(B69="","",IF(B69-$C$6&lt;$C$12,$C$9,0))</x:f>
      </x:c>
      <x:c r="D69" s="68" t="str">
        <x:f>IF(B69="","",IF(B69&lt;$C$13,0,IF(B69&lt;=70,12%,IF(B69&lt;=75,15%,IF(B69&lt;=80,18%,IF(B69&lt;=85,21%,24%))))))</x:f>
      </x:c>
      <x:c r="E69" s="69" t="str">
        <x:f>IF(B69="","",ROUND(D69*$C$11,2))</x:f>
      </x:c>
      <x:c r="F69" s="67" t="str">
        <x:f>IF(B69="","",SUM($E$34:E69))</x:f>
      </x:c>
      <x:c r="G69" s="69" t="str">
        <x:f>IF(B69="","",IF(B69&lt;$C$13,IF(H69="",ROUND(105%*SUM($C$34:C69),2),IF(AND(ISNUMBER(H69),H69&gt;=0),MAX(ROUND(105%*SUM($C$34:C69),2),H69),"ตรวจมูลค่าเวนคืน")),MAX(0,ROUND(SUM($C$34:C69)-F69,2))))</x:f>
      </x:c>
      <x:c r="H69" s="65"/>
    </x:row>
    <x:row r="70" ht="23" customHeight="1">
      <x:c r="A70"/>
      <x:c r="B70" s="36" t="str">
        <x:f>IF($C$17&lt;&gt;"พร้อมคำนวณ","",IF($C$6+ROW()-34&gt;90,"",$C$6+ROW()-34))</x:f>
      </x:c>
      <x:c r="C70" s="37" t="str">
        <x:f>IF(B70="","",IF(B70-$C$6&lt;$C$12,$C$9,0))</x:f>
      </x:c>
      <x:c r="D70" s="38" t="str">
        <x:f>IF(B70="","",IF(B70&lt;$C$13,0,IF(B70&lt;=70,12%,IF(B70&lt;=75,15%,IF(B70&lt;=80,18%,IF(B70&lt;=85,21%,24%))))))</x:f>
      </x:c>
      <x:c r="E70" s="42" t="str">
        <x:f>IF(B70="","",ROUND(D70*$C$11,2))</x:f>
      </x:c>
      <x:c r="F70" s="37" t="str">
        <x:f>IF(B70="","",SUM($E$34:E70))</x:f>
      </x:c>
      <x:c r="G70" s="42" t="str">
        <x:f>IF(B70="","",IF(B70&lt;$C$13,IF(H70="",ROUND(105%*SUM($C$34:C70),2),IF(AND(ISNUMBER(H70),H70&gt;=0),MAX(ROUND(105%*SUM($C$34:C70),2),H70),"ตรวจมูลค่าเวนคืน")),MAX(0,ROUND(SUM($C$34:C70)-F70,2))))</x:f>
      </x:c>
      <x:c r="H70" s="65"/>
    </x:row>
    <x:row r="71" ht="23" customHeight="1">
      <x:c r="A71"/>
      <x:c r="B71" s="66" t="str">
        <x:f>IF($C$17&lt;&gt;"พร้อมคำนวณ","",IF($C$6+ROW()-34&gt;90,"",$C$6+ROW()-34))</x:f>
      </x:c>
      <x:c r="C71" s="67" t="str">
        <x:f>IF(B71="","",IF(B71-$C$6&lt;$C$12,$C$9,0))</x:f>
      </x:c>
      <x:c r="D71" s="68" t="str">
        <x:f>IF(B71="","",IF(B71&lt;$C$13,0,IF(B71&lt;=70,12%,IF(B71&lt;=75,15%,IF(B71&lt;=80,18%,IF(B71&lt;=85,21%,24%))))))</x:f>
      </x:c>
      <x:c r="E71" s="69" t="str">
        <x:f>IF(B71="","",ROUND(D71*$C$11,2))</x:f>
      </x:c>
      <x:c r="F71" s="67" t="str">
        <x:f>IF(B71="","",SUM($E$34:E71))</x:f>
      </x:c>
      <x:c r="G71" s="69" t="str">
        <x:f>IF(B71="","",IF(B71&lt;$C$13,IF(H71="",ROUND(105%*SUM($C$34:C71),2),IF(AND(ISNUMBER(H71),H71&gt;=0),MAX(ROUND(105%*SUM($C$34:C71),2),H71),"ตรวจมูลค่าเวนคืน")),MAX(0,ROUND(SUM($C$34:C71)-F71,2))))</x:f>
      </x:c>
      <x:c r="H71" s="65"/>
    </x:row>
    <x:row r="72" ht="23" customHeight="1">
      <x:c r="A72"/>
      <x:c r="B72" s="36" t="str">
        <x:f>IF($C$17&lt;&gt;"พร้อมคำนวณ","",IF($C$6+ROW()-34&gt;90,"",$C$6+ROW()-34))</x:f>
      </x:c>
      <x:c r="C72" s="37" t="str">
        <x:f>IF(B72="","",IF(B72-$C$6&lt;$C$12,$C$9,0))</x:f>
      </x:c>
      <x:c r="D72" s="38" t="str">
        <x:f>IF(B72="","",IF(B72&lt;$C$13,0,IF(B72&lt;=70,12%,IF(B72&lt;=75,15%,IF(B72&lt;=80,18%,IF(B72&lt;=85,21%,24%))))))</x:f>
      </x:c>
      <x:c r="E72" s="42" t="str">
        <x:f>IF(B72="","",ROUND(D72*$C$11,2))</x:f>
      </x:c>
      <x:c r="F72" s="37" t="str">
        <x:f>IF(B72="","",SUM($E$34:E72))</x:f>
      </x:c>
      <x:c r="G72" s="42" t="str">
        <x:f>IF(B72="","",IF(B72&lt;$C$13,IF(H72="",ROUND(105%*SUM($C$34:C72),2),IF(AND(ISNUMBER(H72),H72&gt;=0),MAX(ROUND(105%*SUM($C$34:C72),2),H72),"ตรวจมูลค่าเวนคืน")),MAX(0,ROUND(SUM($C$34:C72)-F72,2))))</x:f>
      </x:c>
      <x:c r="H72" s="65"/>
    </x:row>
    <x:row r="73" ht="23" customHeight="1">
      <x:c r="A73"/>
      <x:c r="B73" s="66" t="str">
        <x:f>IF($C$17&lt;&gt;"พร้อมคำนวณ","",IF($C$6+ROW()-34&gt;90,"",$C$6+ROW()-34))</x:f>
      </x:c>
      <x:c r="C73" s="67" t="str">
        <x:f>IF(B73="","",IF(B73-$C$6&lt;$C$12,$C$9,0))</x:f>
      </x:c>
      <x:c r="D73" s="68" t="str">
        <x:f>IF(B73="","",IF(B73&lt;$C$13,0,IF(B73&lt;=70,12%,IF(B73&lt;=75,15%,IF(B73&lt;=80,18%,IF(B73&lt;=85,21%,24%))))))</x:f>
      </x:c>
      <x:c r="E73" s="69" t="str">
        <x:f>IF(B73="","",ROUND(D73*$C$11,2))</x:f>
      </x:c>
      <x:c r="F73" s="67" t="str">
        <x:f>IF(B73="","",SUM($E$34:E73))</x:f>
      </x:c>
      <x:c r="G73" s="69" t="str">
        <x:f>IF(B73="","",IF(B73&lt;$C$13,IF(H73="",ROUND(105%*SUM($C$34:C73),2),IF(AND(ISNUMBER(H73),H73&gt;=0),MAX(ROUND(105%*SUM($C$34:C73),2),H73),"ตรวจมูลค่าเวนคืน")),MAX(0,ROUND(SUM($C$34:C73)-F73,2))))</x:f>
      </x:c>
      <x:c r="H73" s="65"/>
    </x:row>
    <x:row r="74" ht="23" customHeight="1">
      <x:c r="A74"/>
      <x:c r="B74" s="36" t="str">
        <x:f>IF($C$17&lt;&gt;"พร้อมคำนวณ","",IF($C$6+ROW()-34&gt;90,"",$C$6+ROW()-34))</x:f>
      </x:c>
      <x:c r="C74" s="37" t="str">
        <x:f>IF(B74="","",IF(B74-$C$6&lt;$C$12,$C$9,0))</x:f>
      </x:c>
      <x:c r="D74" s="38" t="str">
        <x:f>IF(B74="","",IF(B74&lt;$C$13,0,IF(B74&lt;=70,12%,IF(B74&lt;=75,15%,IF(B74&lt;=80,18%,IF(B74&lt;=85,21%,24%))))))</x:f>
      </x:c>
      <x:c r="E74" s="42" t="str">
        <x:f>IF(B74="","",ROUND(D74*$C$11,2))</x:f>
      </x:c>
      <x:c r="F74" s="37" t="str">
        <x:f>IF(B74="","",SUM($E$34:E74))</x:f>
      </x:c>
      <x:c r="G74" s="42" t="str">
        <x:f>IF(B74="","",IF(B74&lt;$C$13,IF(H74="",ROUND(105%*SUM($C$34:C74),2),IF(AND(ISNUMBER(H74),H74&gt;=0),MAX(ROUND(105%*SUM($C$34:C74),2),H74),"ตรวจมูลค่าเวนคืน")),MAX(0,ROUND(SUM($C$34:C74)-F74,2))))</x:f>
      </x:c>
      <x:c r="H74" s="65"/>
    </x:row>
    <x:row r="75" ht="23" customHeight="1">
      <x:c r="A75"/>
      <x:c r="B75" s="66" t="str">
        <x:f>IF($C$17&lt;&gt;"พร้อมคำนวณ","",IF($C$6+ROW()-34&gt;90,"",$C$6+ROW()-34))</x:f>
      </x:c>
      <x:c r="C75" s="67" t="str">
        <x:f>IF(B75="","",IF(B75-$C$6&lt;$C$12,$C$9,0))</x:f>
      </x:c>
      <x:c r="D75" s="68" t="str">
        <x:f>IF(B75="","",IF(B75&lt;$C$13,0,IF(B75&lt;=70,12%,IF(B75&lt;=75,15%,IF(B75&lt;=80,18%,IF(B75&lt;=85,21%,24%))))))</x:f>
      </x:c>
      <x:c r="E75" s="69" t="str">
        <x:f>IF(B75="","",ROUND(D75*$C$11,2))</x:f>
      </x:c>
      <x:c r="F75" s="67" t="str">
        <x:f>IF(B75="","",SUM($E$34:E75))</x:f>
      </x:c>
      <x:c r="G75" s="69" t="str">
        <x:f>IF(B75="","",IF(B75&lt;$C$13,IF(H75="",ROUND(105%*SUM($C$34:C75),2),IF(AND(ISNUMBER(H75),H75&gt;=0),MAX(ROUND(105%*SUM($C$34:C75),2),H75),"ตรวจมูลค่าเวนคืน")),MAX(0,ROUND(SUM($C$34:C75)-F75,2))))</x:f>
      </x:c>
      <x:c r="H75" s="65"/>
    </x:row>
    <x:row r="76" ht="23" customHeight="1">
      <x:c r="A76"/>
      <x:c r="B76" s="36" t="str">
        <x:f>IF($C$17&lt;&gt;"พร้อมคำนวณ","",IF($C$6+ROW()-34&gt;90,"",$C$6+ROW()-34))</x:f>
      </x:c>
      <x:c r="C76" s="37" t="str">
        <x:f>IF(B76="","",IF(B76-$C$6&lt;$C$12,$C$9,0))</x:f>
      </x:c>
      <x:c r="D76" s="38" t="str">
        <x:f>IF(B76="","",IF(B76&lt;$C$13,0,IF(B76&lt;=70,12%,IF(B76&lt;=75,15%,IF(B76&lt;=80,18%,IF(B76&lt;=85,21%,24%))))))</x:f>
      </x:c>
      <x:c r="E76" s="42" t="str">
        <x:f>IF(B76="","",ROUND(D76*$C$11,2))</x:f>
      </x:c>
      <x:c r="F76" s="37" t="str">
        <x:f>IF(B76="","",SUM($E$34:E76))</x:f>
      </x:c>
      <x:c r="G76" s="42" t="str">
        <x:f>IF(B76="","",IF(B76&lt;$C$13,IF(H76="",ROUND(105%*SUM($C$34:C76),2),IF(AND(ISNUMBER(H76),H76&gt;=0),MAX(ROUND(105%*SUM($C$34:C76),2),H76),"ตรวจมูลค่าเวนคืน")),MAX(0,ROUND(SUM($C$34:C76)-F76,2))))</x:f>
      </x:c>
      <x:c r="H76" s="65"/>
    </x:row>
    <x:row r="77" ht="23" customHeight="1">
      <x:c r="A77"/>
      <x:c r="B77" s="66" t="str">
        <x:f>IF($C$17&lt;&gt;"พร้อมคำนวณ","",IF($C$6+ROW()-34&gt;90,"",$C$6+ROW()-34))</x:f>
      </x:c>
      <x:c r="C77" s="67" t="str">
        <x:f>IF(B77="","",IF(B77-$C$6&lt;$C$12,$C$9,0))</x:f>
      </x:c>
      <x:c r="D77" s="68" t="str">
        <x:f>IF(B77="","",IF(B77&lt;$C$13,0,IF(B77&lt;=70,12%,IF(B77&lt;=75,15%,IF(B77&lt;=80,18%,IF(B77&lt;=85,21%,24%))))))</x:f>
      </x:c>
      <x:c r="E77" s="69" t="str">
        <x:f>IF(B77="","",ROUND(D77*$C$11,2))</x:f>
      </x:c>
      <x:c r="F77" s="67" t="str">
        <x:f>IF(B77="","",SUM($E$34:E77))</x:f>
      </x:c>
      <x:c r="G77" s="69" t="str">
        <x:f>IF(B77="","",IF(B77&lt;$C$13,IF(H77="",ROUND(105%*SUM($C$34:C77),2),IF(AND(ISNUMBER(H77),H77&gt;=0),MAX(ROUND(105%*SUM($C$34:C77),2),H77),"ตรวจมูลค่าเวนคืน")),MAX(0,ROUND(SUM($C$34:C77)-F77,2))))</x:f>
      </x:c>
      <x:c r="H77" s="65"/>
    </x:row>
    <x:row r="78" ht="23" customHeight="1">
      <x:c r="A78"/>
      <x:c r="B78" s="36" t="str">
        <x:f>IF($C$17&lt;&gt;"พร้อมคำนวณ","",IF($C$6+ROW()-34&gt;90,"",$C$6+ROW()-34))</x:f>
      </x:c>
      <x:c r="C78" s="37" t="str">
        <x:f>IF(B78="","",IF(B78-$C$6&lt;$C$12,$C$9,0))</x:f>
      </x:c>
      <x:c r="D78" s="38" t="str">
        <x:f>IF(B78="","",IF(B78&lt;$C$13,0,IF(B78&lt;=70,12%,IF(B78&lt;=75,15%,IF(B78&lt;=80,18%,IF(B78&lt;=85,21%,24%))))))</x:f>
      </x:c>
      <x:c r="E78" s="42" t="str">
        <x:f>IF(B78="","",ROUND(D78*$C$11,2))</x:f>
      </x:c>
      <x:c r="F78" s="37" t="str">
        <x:f>IF(B78="","",SUM($E$34:E78))</x:f>
      </x:c>
      <x:c r="G78" s="42" t="str">
        <x:f>IF(B78="","",IF(B78&lt;$C$13,IF(H78="",ROUND(105%*SUM($C$34:C78),2),IF(AND(ISNUMBER(H78),H78&gt;=0),MAX(ROUND(105%*SUM($C$34:C78),2),H78),"ตรวจมูลค่าเวนคืน")),MAX(0,ROUND(SUM($C$34:C78)-F78,2))))</x:f>
      </x:c>
      <x:c r="H78" s="65"/>
    </x:row>
    <x:row r="79" ht="23" customHeight="1">
      <x:c r="A79"/>
      <x:c r="B79" s="66" t="str">
        <x:f>IF($C$17&lt;&gt;"พร้อมคำนวณ","",IF($C$6+ROW()-34&gt;90,"",$C$6+ROW()-34))</x:f>
      </x:c>
      <x:c r="C79" s="67" t="str">
        <x:f>IF(B79="","",IF(B79-$C$6&lt;$C$12,$C$9,0))</x:f>
      </x:c>
      <x:c r="D79" s="68" t="str">
        <x:f>IF(B79="","",IF(B79&lt;$C$13,0,IF(B79&lt;=70,12%,IF(B79&lt;=75,15%,IF(B79&lt;=80,18%,IF(B79&lt;=85,21%,24%))))))</x:f>
      </x:c>
      <x:c r="E79" s="69" t="str">
        <x:f>IF(B79="","",ROUND(D79*$C$11,2))</x:f>
      </x:c>
      <x:c r="F79" s="67" t="str">
        <x:f>IF(B79="","",SUM($E$34:E79))</x:f>
      </x:c>
      <x:c r="G79" s="69" t="str">
        <x:f>IF(B79="","",IF(B79&lt;$C$13,IF(H79="",ROUND(105%*SUM($C$34:C79),2),IF(AND(ISNUMBER(H79),H79&gt;=0),MAX(ROUND(105%*SUM($C$34:C79),2),H79),"ตรวจมูลค่าเวนคืน")),MAX(0,ROUND(SUM($C$34:C79)-F79,2))))</x:f>
      </x:c>
      <x:c r="H79" s="65"/>
    </x:row>
    <x:row r="80" ht="23" customHeight="1">
      <x:c r="A80"/>
      <x:c r="B80" s="36" t="str">
        <x:f>IF($C$17&lt;&gt;"พร้อมคำนวณ","",IF($C$6+ROW()-34&gt;90,"",$C$6+ROW()-34))</x:f>
      </x:c>
      <x:c r="C80" s="37" t="str">
        <x:f>IF(B80="","",IF(B80-$C$6&lt;$C$12,$C$9,0))</x:f>
      </x:c>
      <x:c r="D80" s="38" t="str">
        <x:f>IF(B80="","",IF(B80&lt;$C$13,0,IF(B80&lt;=70,12%,IF(B80&lt;=75,15%,IF(B80&lt;=80,18%,IF(B80&lt;=85,21%,24%))))))</x:f>
      </x:c>
      <x:c r="E80" s="42" t="str">
        <x:f>IF(B80="","",ROUND(D80*$C$11,2))</x:f>
      </x:c>
      <x:c r="F80" s="37" t="str">
        <x:f>IF(B80="","",SUM($E$34:E80))</x:f>
      </x:c>
      <x:c r="G80" s="42" t="str">
        <x:f>IF(B80="","",IF(B80&lt;$C$13,IF(H80="",ROUND(105%*SUM($C$34:C80),2),IF(AND(ISNUMBER(H80),H80&gt;=0),MAX(ROUND(105%*SUM($C$34:C80),2),H80),"ตรวจมูลค่าเวนคืน")),MAX(0,ROUND(SUM($C$34:C80)-F80,2))))</x:f>
      </x:c>
      <x:c r="H80" s="65"/>
    </x:row>
    <x:row r="81" ht="23" customHeight="1">
      <x:c r="A81"/>
      <x:c r="B81" s="66" t="str">
        <x:f>IF($C$17&lt;&gt;"พร้อมคำนวณ","",IF($C$6+ROW()-34&gt;90,"",$C$6+ROW()-34))</x:f>
      </x:c>
      <x:c r="C81" s="67" t="str">
        <x:f>IF(B81="","",IF(B81-$C$6&lt;$C$12,$C$9,0))</x:f>
      </x:c>
      <x:c r="D81" s="68" t="str">
        <x:f>IF(B81="","",IF(B81&lt;$C$13,0,IF(B81&lt;=70,12%,IF(B81&lt;=75,15%,IF(B81&lt;=80,18%,IF(B81&lt;=85,21%,24%))))))</x:f>
      </x:c>
      <x:c r="E81" s="69" t="str">
        <x:f>IF(B81="","",ROUND(D81*$C$11,2))</x:f>
      </x:c>
      <x:c r="F81" s="67" t="str">
        <x:f>IF(B81="","",SUM($E$34:E81))</x:f>
      </x:c>
      <x:c r="G81" s="69" t="str">
        <x:f>IF(B81="","",IF(B81&lt;$C$13,IF(H81="",ROUND(105%*SUM($C$34:C81),2),IF(AND(ISNUMBER(H81),H81&gt;=0),MAX(ROUND(105%*SUM($C$34:C81),2),H81),"ตรวจมูลค่าเวนคืน")),MAX(0,ROUND(SUM($C$34:C81)-F81,2))))</x:f>
      </x:c>
      <x:c r="H81" s="65"/>
    </x:row>
    <x:row r="82" ht="23" customHeight="1">
      <x:c r="A82"/>
      <x:c r="B82" s="36" t="str">
        <x:f>IF($C$17&lt;&gt;"พร้อมคำนวณ","",IF($C$6+ROW()-34&gt;90,"",$C$6+ROW()-34))</x:f>
      </x:c>
      <x:c r="C82" s="37" t="str">
        <x:f>IF(B82="","",IF(B82-$C$6&lt;$C$12,$C$9,0))</x:f>
      </x:c>
      <x:c r="D82" s="38" t="str">
        <x:f>IF(B82="","",IF(B82&lt;$C$13,0,IF(B82&lt;=70,12%,IF(B82&lt;=75,15%,IF(B82&lt;=80,18%,IF(B82&lt;=85,21%,24%))))))</x:f>
      </x:c>
      <x:c r="E82" s="42" t="str">
        <x:f>IF(B82="","",ROUND(D82*$C$11,2))</x:f>
      </x:c>
      <x:c r="F82" s="37" t="str">
        <x:f>IF(B82="","",SUM($E$34:E82))</x:f>
      </x:c>
      <x:c r="G82" s="42" t="str">
        <x:f>IF(B82="","",IF(B82&lt;$C$13,IF(H82="",ROUND(105%*SUM($C$34:C82),2),IF(AND(ISNUMBER(H82),H82&gt;=0),MAX(ROUND(105%*SUM($C$34:C82),2),H82),"ตรวจมูลค่าเวนคืน")),MAX(0,ROUND(SUM($C$34:C82)-F82,2))))</x:f>
      </x:c>
      <x:c r="H82" s="65"/>
    </x:row>
    <x:row r="83" ht="23" customHeight="1">
      <x:c r="A83"/>
      <x:c r="B83" s="66" t="str">
        <x:f>IF($C$17&lt;&gt;"พร้อมคำนวณ","",IF($C$6+ROW()-34&gt;90,"",$C$6+ROW()-34))</x:f>
      </x:c>
      <x:c r="C83" s="67" t="str">
        <x:f>IF(B83="","",IF(B83-$C$6&lt;$C$12,$C$9,0))</x:f>
      </x:c>
      <x:c r="D83" s="68" t="str">
        <x:f>IF(B83="","",IF(B83&lt;$C$13,0,IF(B83&lt;=70,12%,IF(B83&lt;=75,15%,IF(B83&lt;=80,18%,IF(B83&lt;=85,21%,24%))))))</x:f>
      </x:c>
      <x:c r="E83" s="69" t="str">
        <x:f>IF(B83="","",ROUND(D83*$C$11,2))</x:f>
      </x:c>
      <x:c r="F83" s="67" t="str">
        <x:f>IF(B83="","",SUM($E$34:E83))</x:f>
      </x:c>
      <x:c r="G83" s="69" t="str">
        <x:f>IF(B83="","",IF(B83&lt;$C$13,IF(H83="",ROUND(105%*SUM($C$34:C83),2),IF(AND(ISNUMBER(H83),H83&gt;=0),MAX(ROUND(105%*SUM($C$34:C83),2),H83),"ตรวจมูลค่าเวนคืน")),MAX(0,ROUND(SUM($C$34:C83)-F83,2))))</x:f>
      </x:c>
      <x:c r="H83" s="65"/>
    </x:row>
    <x:row r="84" ht="23" customHeight="1">
      <x:c r="A84"/>
      <x:c r="B84" s="36" t="str">
        <x:f>IF($C$17&lt;&gt;"พร้อมคำนวณ","",IF($C$6+ROW()-34&gt;90,"",$C$6+ROW()-34))</x:f>
      </x:c>
      <x:c r="C84" s="37" t="str">
        <x:f>IF(B84="","",IF(B84-$C$6&lt;$C$12,$C$9,0))</x:f>
      </x:c>
      <x:c r="D84" s="38" t="str">
        <x:f>IF(B84="","",IF(B84&lt;$C$13,0,IF(B84&lt;=70,12%,IF(B84&lt;=75,15%,IF(B84&lt;=80,18%,IF(B84&lt;=85,21%,24%))))))</x:f>
      </x:c>
      <x:c r="E84" s="42" t="str">
        <x:f>IF(B84="","",ROUND(D84*$C$11,2))</x:f>
      </x:c>
      <x:c r="F84" s="37" t="str">
        <x:f>IF(B84="","",SUM($E$34:E84))</x:f>
      </x:c>
      <x:c r="G84" s="42" t="str">
        <x:f>IF(B84="","",IF(B84&lt;$C$13,IF(H84="",ROUND(105%*SUM($C$34:C84),2),IF(AND(ISNUMBER(H84),H84&gt;=0),MAX(ROUND(105%*SUM($C$34:C84),2),H84),"ตรวจมูลค่าเวนคืน")),MAX(0,ROUND(SUM($C$34:C84)-F84,2))))</x:f>
      </x:c>
      <x:c r="H84" s="65"/>
    </x:row>
    <x:row r="85" ht="23" customHeight="1">
      <x:c r="A85"/>
      <x:c r="B85" s="66" t="str">
        <x:f>IF($C$17&lt;&gt;"พร้อมคำนวณ","",IF($C$6+ROW()-34&gt;90,"",$C$6+ROW()-34))</x:f>
      </x:c>
      <x:c r="C85" s="67" t="str">
        <x:f>IF(B85="","",IF(B85-$C$6&lt;$C$12,$C$9,0))</x:f>
      </x:c>
      <x:c r="D85" s="68" t="str">
        <x:f>IF(B85="","",IF(B85&lt;$C$13,0,IF(B85&lt;=70,12%,IF(B85&lt;=75,15%,IF(B85&lt;=80,18%,IF(B85&lt;=85,21%,24%))))))</x:f>
      </x:c>
      <x:c r="E85" s="69" t="str">
        <x:f>IF(B85="","",ROUND(D85*$C$11,2))</x:f>
      </x:c>
      <x:c r="F85" s="67" t="str">
        <x:f>IF(B85="","",SUM($E$34:E85))</x:f>
      </x:c>
      <x:c r="G85" s="69" t="str">
        <x:f>IF(B85="","",IF(B85&lt;$C$13,IF(H85="",ROUND(105%*SUM($C$34:C85),2),IF(AND(ISNUMBER(H85),H85&gt;=0),MAX(ROUND(105%*SUM($C$34:C85),2),H85),"ตรวจมูลค่าเวนคืน")),MAX(0,ROUND(SUM($C$34:C85)-F85,2))))</x:f>
      </x:c>
      <x:c r="H85" s="65"/>
    </x:row>
    <x:row r="86" ht="23" customHeight="1">
      <x:c r="A86"/>
      <x:c r="B86" s="36" t="str">
        <x:f>IF($C$17&lt;&gt;"พร้อมคำนวณ","",IF($C$6+ROW()-34&gt;90,"",$C$6+ROW()-34))</x:f>
      </x:c>
      <x:c r="C86" s="37" t="str">
        <x:f>IF(B86="","",IF(B86-$C$6&lt;$C$12,$C$9,0))</x:f>
      </x:c>
      <x:c r="D86" s="38" t="str">
        <x:f>IF(B86="","",IF(B86&lt;$C$13,0,IF(B86&lt;=70,12%,IF(B86&lt;=75,15%,IF(B86&lt;=80,18%,IF(B86&lt;=85,21%,24%))))))</x:f>
      </x:c>
      <x:c r="E86" s="42" t="str">
        <x:f>IF(B86="","",ROUND(D86*$C$11,2))</x:f>
      </x:c>
      <x:c r="F86" s="37" t="str">
        <x:f>IF(B86="","",SUM($E$34:E86))</x:f>
      </x:c>
      <x:c r="G86" s="42" t="str">
        <x:f>IF(B86="","",IF(B86&lt;$C$13,IF(H86="",ROUND(105%*SUM($C$34:C86),2),IF(AND(ISNUMBER(H86),H86&gt;=0),MAX(ROUND(105%*SUM($C$34:C86),2),H86),"ตรวจมูลค่าเวนคืน")),MAX(0,ROUND(SUM($C$34:C86)-F86,2))))</x:f>
      </x:c>
      <x:c r="H86" s="65"/>
    </x:row>
    <x:row r="87" ht="23" customHeight="1">
      <x:c r="A87"/>
      <x:c r="B87" s="66" t="str">
        <x:f>IF($C$17&lt;&gt;"พร้อมคำนวณ","",IF($C$6+ROW()-34&gt;90,"",$C$6+ROW()-34))</x:f>
      </x:c>
      <x:c r="C87" s="67" t="str">
        <x:f>IF(B87="","",IF(B87-$C$6&lt;$C$12,$C$9,0))</x:f>
      </x:c>
      <x:c r="D87" s="68" t="str">
        <x:f>IF(B87="","",IF(B87&lt;$C$13,0,IF(B87&lt;=70,12%,IF(B87&lt;=75,15%,IF(B87&lt;=80,18%,IF(B87&lt;=85,21%,24%))))))</x:f>
      </x:c>
      <x:c r="E87" s="69" t="str">
        <x:f>IF(B87="","",ROUND(D87*$C$11,2))</x:f>
      </x:c>
      <x:c r="F87" s="67" t="str">
        <x:f>IF(B87="","",SUM($E$34:E87))</x:f>
      </x:c>
      <x:c r="G87" s="69" t="str">
        <x:f>IF(B87="","",IF(B87&lt;$C$13,IF(H87="",ROUND(105%*SUM($C$34:C87),2),IF(AND(ISNUMBER(H87),H87&gt;=0),MAX(ROUND(105%*SUM($C$34:C87),2),H87),"ตรวจมูลค่าเวนคืน")),MAX(0,ROUND(SUM($C$34:C87)-F87,2))))</x:f>
      </x:c>
      <x:c r="H87" s="65"/>
    </x:row>
    <x:row r="88" ht="23" customHeight="1">
      <x:c r="A88"/>
      <x:c r="B88" s="36" t="str">
        <x:f>IF($C$17&lt;&gt;"พร้อมคำนวณ","",IF($C$6+ROW()-34&gt;90,"",$C$6+ROW()-34))</x:f>
      </x:c>
      <x:c r="C88" s="37" t="str">
        <x:f>IF(B88="","",IF(B88-$C$6&lt;$C$12,$C$9,0))</x:f>
      </x:c>
      <x:c r="D88" s="38" t="str">
        <x:f>IF(B88="","",IF(B88&lt;$C$13,0,IF(B88&lt;=70,12%,IF(B88&lt;=75,15%,IF(B88&lt;=80,18%,IF(B88&lt;=85,21%,24%))))))</x:f>
      </x:c>
      <x:c r="E88" s="42" t="str">
        <x:f>IF(B88="","",ROUND(D88*$C$11,2))</x:f>
      </x:c>
      <x:c r="F88" s="37" t="str">
        <x:f>IF(B88="","",SUM($E$34:E88))</x:f>
      </x:c>
      <x:c r="G88" s="42" t="str">
        <x:f>IF(B88="","",IF(B88&lt;$C$13,IF(H88="",ROUND(105%*SUM($C$34:C88),2),IF(AND(ISNUMBER(H88),H88&gt;=0),MAX(ROUND(105%*SUM($C$34:C88),2),H88),"ตรวจมูลค่าเวนคืน")),MAX(0,ROUND(SUM($C$34:C88)-F88,2))))</x:f>
      </x:c>
      <x:c r="H88" s="65"/>
    </x:row>
    <x:row r="89" ht="23" customHeight="1">
      <x:c r="A89"/>
      <x:c r="B89" s="66" t="str">
        <x:f>IF($C$17&lt;&gt;"พร้อมคำนวณ","",IF($C$6+ROW()-34&gt;90,"",$C$6+ROW()-34))</x:f>
      </x:c>
      <x:c r="C89" s="67" t="str">
        <x:f>IF(B89="","",IF(B89-$C$6&lt;$C$12,$C$9,0))</x:f>
      </x:c>
      <x:c r="D89" s="68" t="str">
        <x:f>IF(B89="","",IF(B89&lt;$C$13,0,IF(B89&lt;=70,12%,IF(B89&lt;=75,15%,IF(B89&lt;=80,18%,IF(B89&lt;=85,21%,24%))))))</x:f>
      </x:c>
      <x:c r="E89" s="69" t="str">
        <x:f>IF(B89="","",ROUND(D89*$C$11,2))</x:f>
      </x:c>
      <x:c r="F89" s="67" t="str">
        <x:f>IF(B89="","",SUM($E$34:E89))</x:f>
      </x:c>
      <x:c r="G89" s="69" t="str">
        <x:f>IF(B89="","",IF(B89&lt;$C$13,IF(H89="",ROUND(105%*SUM($C$34:C89),2),IF(AND(ISNUMBER(H89),H89&gt;=0),MAX(ROUND(105%*SUM($C$34:C89),2),H89),"ตรวจมูลค่าเวนคืน")),MAX(0,ROUND(SUM($C$34:C89)-F89,2))))</x:f>
      </x:c>
      <x:c r="H89" s="65"/>
    </x:row>
    <x:row r="90" ht="23" customHeight="1">
      <x:c r="A90"/>
      <x:c r="B90" s="36" t="str">
        <x:f>IF($C$17&lt;&gt;"พร้อมคำนวณ","",IF($C$6+ROW()-34&gt;90,"",$C$6+ROW()-34))</x:f>
      </x:c>
      <x:c r="C90" s="37" t="str">
        <x:f>IF(B90="","",IF(B90-$C$6&lt;$C$12,$C$9,0))</x:f>
      </x:c>
      <x:c r="D90" s="38" t="str">
        <x:f>IF(B90="","",IF(B90&lt;$C$13,0,IF(B90&lt;=70,12%,IF(B90&lt;=75,15%,IF(B90&lt;=80,18%,IF(B90&lt;=85,21%,24%))))))</x:f>
      </x:c>
      <x:c r="E90" s="42" t="str">
        <x:f>IF(B90="","",ROUND(D90*$C$11,2))</x:f>
      </x:c>
      <x:c r="F90" s="37" t="str">
        <x:f>IF(B90="","",SUM($E$34:E90))</x:f>
      </x:c>
      <x:c r="G90" s="42" t="str">
        <x:f>IF(B90="","",IF(B90&lt;$C$13,IF(H90="",ROUND(105%*SUM($C$34:C90),2),IF(AND(ISNUMBER(H90),H90&gt;=0),MAX(ROUND(105%*SUM($C$34:C90),2),H90),"ตรวจมูลค่าเวนคืน")),MAX(0,ROUND(SUM($C$34:C90)-F90,2))))</x:f>
      </x:c>
      <x:c r="H90" s="65"/>
    </x:row>
    <x:row r="91" ht="23" customHeight="1">
      <x:c r="A91"/>
      <x:c r="B91" s="66" t="str">
        <x:f>IF($C$17&lt;&gt;"พร้อมคำนวณ","",IF($C$6+ROW()-34&gt;90,"",$C$6+ROW()-34))</x:f>
      </x:c>
      <x:c r="C91" s="67" t="str">
        <x:f>IF(B91="","",IF(B91-$C$6&lt;$C$12,$C$9,0))</x:f>
      </x:c>
      <x:c r="D91" s="68" t="str">
        <x:f>IF(B91="","",IF(B91&lt;$C$13,0,IF(B91&lt;=70,12%,IF(B91&lt;=75,15%,IF(B91&lt;=80,18%,IF(B91&lt;=85,21%,24%))))))</x:f>
      </x:c>
      <x:c r="E91" s="69" t="str">
        <x:f>IF(B91="","",ROUND(D91*$C$11,2))</x:f>
      </x:c>
      <x:c r="F91" s="67" t="str">
        <x:f>IF(B91="","",SUM($E$34:E91))</x:f>
      </x:c>
      <x:c r="G91" s="69" t="str">
        <x:f>IF(B91="","",IF(B91&lt;$C$13,IF(H91="",ROUND(105%*SUM($C$34:C91),2),IF(AND(ISNUMBER(H91),H91&gt;=0),MAX(ROUND(105%*SUM($C$34:C91),2),H91),"ตรวจมูลค่าเวนคืน")),MAX(0,ROUND(SUM($C$34:C91)-F91,2))))</x:f>
      </x:c>
      <x:c r="H91" s="65"/>
    </x:row>
    <x:row r="92" ht="23" customHeight="1">
      <x:c r="A92"/>
      <x:c r="B92" s="36" t="str">
        <x:f>IF($C$17&lt;&gt;"พร้อมคำนวณ","",IF($C$6+ROW()-34&gt;90,"",$C$6+ROW()-34))</x:f>
      </x:c>
      <x:c r="C92" s="37" t="str">
        <x:f>IF(B92="","",IF(B92-$C$6&lt;$C$12,$C$9,0))</x:f>
      </x:c>
      <x:c r="D92" s="38" t="str">
        <x:f>IF(B92="","",IF(B92&lt;$C$13,0,IF(B92&lt;=70,12%,IF(B92&lt;=75,15%,IF(B92&lt;=80,18%,IF(B92&lt;=85,21%,24%))))))</x:f>
      </x:c>
      <x:c r="E92" s="42" t="str">
        <x:f>IF(B92="","",ROUND(D92*$C$11,2))</x:f>
      </x:c>
      <x:c r="F92" s="37" t="str">
        <x:f>IF(B92="","",SUM($E$34:E92))</x:f>
      </x:c>
      <x:c r="G92" s="42" t="str">
        <x:f>IF(B92="","",IF(B92&lt;$C$13,IF(H92="",ROUND(105%*SUM($C$34:C92),2),IF(AND(ISNUMBER(H92),H92&gt;=0),MAX(ROUND(105%*SUM($C$34:C92),2),H92),"ตรวจมูลค่าเวนคืน")),MAX(0,ROUND(SUM($C$34:C92)-F92,2))))</x:f>
      </x:c>
      <x:c r="H92" s="65"/>
    </x:row>
    <x:row r="93" ht="23" customHeight="1">
      <x:c r="A93"/>
      <x:c r="B93" s="66" t="str">
        <x:f>IF($C$17&lt;&gt;"พร้อมคำนวณ","",IF($C$6+ROW()-34&gt;90,"",$C$6+ROW()-34))</x:f>
      </x:c>
      <x:c r="C93" s="67" t="str">
        <x:f>IF(B93="","",IF(B93-$C$6&lt;$C$12,$C$9,0))</x:f>
      </x:c>
      <x:c r="D93" s="68" t="str">
        <x:f>IF(B93="","",IF(B93&lt;$C$13,0,IF(B93&lt;=70,12%,IF(B93&lt;=75,15%,IF(B93&lt;=80,18%,IF(B93&lt;=85,21%,24%))))))</x:f>
      </x:c>
      <x:c r="E93" s="69" t="str">
        <x:f>IF(B93="","",ROUND(D93*$C$11,2))</x:f>
      </x:c>
      <x:c r="F93" s="67" t="str">
        <x:f>IF(B93="","",SUM($E$34:E93))</x:f>
      </x:c>
      <x:c r="G93" s="69" t="str">
        <x:f>IF(B93="","",IF(B93&lt;$C$13,IF(H93="",ROUND(105%*SUM($C$34:C93),2),IF(AND(ISNUMBER(H93),H93&gt;=0),MAX(ROUND(105%*SUM($C$34:C93),2),H93),"ตรวจมูลค่าเวนคืน")),MAX(0,ROUND(SUM($C$34:C93)-F93,2))))</x:f>
      </x:c>
      <x:c r="H93" s="65"/>
    </x:row>
    <x:row r="94" ht="23" customHeight="1">
      <x:c r="A94"/>
      <x:c r="B94" s="36" t="str">
        <x:f>IF($C$17&lt;&gt;"พร้อมคำนวณ","",IF($C$6+ROW()-34&gt;90,"",$C$6+ROW()-34))</x:f>
      </x:c>
      <x:c r="C94" s="37" t="str">
        <x:f>IF(B94="","",IF(B94-$C$6&lt;$C$12,$C$9,0))</x:f>
      </x:c>
      <x:c r="D94" s="38" t="str">
        <x:f>IF(B94="","",IF(B94&lt;$C$13,0,IF(B94&lt;=70,12%,IF(B94&lt;=75,15%,IF(B94&lt;=80,18%,IF(B94&lt;=85,21%,24%))))))</x:f>
      </x:c>
      <x:c r="E94" s="42" t="str">
        <x:f>IF(B94="","",ROUND(D94*$C$11,2))</x:f>
      </x:c>
      <x:c r="F94" s="37" t="str">
        <x:f>IF(B94="","",SUM($E$34:E94))</x:f>
      </x:c>
      <x:c r="G94" s="42" t="str">
        <x:f>IF(B94="","",IF(B94&lt;$C$13,IF(H94="",ROUND(105%*SUM($C$34:C94),2),IF(AND(ISNUMBER(H94),H94&gt;=0),MAX(ROUND(105%*SUM($C$34:C94),2),H94),"ตรวจมูลค่าเวนคืน")),MAX(0,ROUND(SUM($C$34:C94)-F94,2))))</x:f>
      </x:c>
      <x:c r="H94" s="65"/>
    </x:row>
    <x:row r="95" ht="23" customHeight="1">
      <x:c r="A95"/>
      <x:c r="B95" s="66" t="str">
        <x:f>IF($C$17&lt;&gt;"พร้อมคำนวณ","",IF($C$6+ROW()-34&gt;90,"",$C$6+ROW()-34))</x:f>
      </x:c>
      <x:c r="C95" s="67" t="str">
        <x:f>IF(B95="","",IF(B95-$C$6&lt;$C$12,$C$9,0))</x:f>
      </x:c>
      <x:c r="D95" s="68" t="str">
        <x:f>IF(B95="","",IF(B95&lt;$C$13,0,IF(B95&lt;=70,12%,IF(B95&lt;=75,15%,IF(B95&lt;=80,18%,IF(B95&lt;=85,21%,24%))))))</x:f>
      </x:c>
      <x:c r="E95" s="69" t="str">
        <x:f>IF(B95="","",ROUND(D95*$C$11,2))</x:f>
      </x:c>
      <x:c r="F95" s="67" t="str">
        <x:f>IF(B95="","",SUM($E$34:E95))</x:f>
      </x:c>
      <x:c r="G95" s="69" t="str">
        <x:f>IF(B95="","",IF(B95&lt;$C$13,IF(H95="",ROUND(105%*SUM($C$34:C95),2),IF(AND(ISNUMBER(H95),H95&gt;=0),MAX(ROUND(105%*SUM($C$34:C95),2),H95),"ตรวจมูลค่าเวนคืน")),MAX(0,ROUND(SUM($C$34:C95)-F95,2))))</x:f>
      </x:c>
      <x:c r="H95" s="65"/>
    </x:row>
    <x:row r="96" ht="23" customHeight="1">
      <x:c r="A96"/>
      <x:c r="B96" s="36" t="str">
        <x:f>IF($C$17&lt;&gt;"พร้อมคำนวณ","",IF($C$6+ROW()-34&gt;90,"",$C$6+ROW()-34))</x:f>
      </x:c>
      <x:c r="C96" s="37" t="str">
        <x:f>IF(B96="","",IF(B96-$C$6&lt;$C$12,$C$9,0))</x:f>
      </x:c>
      <x:c r="D96" s="38" t="str">
        <x:f>IF(B96="","",IF(B96&lt;$C$13,0,IF(B96&lt;=70,12%,IF(B96&lt;=75,15%,IF(B96&lt;=80,18%,IF(B96&lt;=85,21%,24%))))))</x:f>
      </x:c>
      <x:c r="E96" s="42" t="str">
        <x:f>IF(B96="","",ROUND(D96*$C$11,2))</x:f>
      </x:c>
      <x:c r="F96" s="37" t="str">
        <x:f>IF(B96="","",SUM($E$34:E96))</x:f>
      </x:c>
      <x:c r="G96" s="42" t="str">
        <x:f>IF(B96="","",IF(B96&lt;$C$13,IF(H96="",ROUND(105%*SUM($C$34:C96),2),IF(AND(ISNUMBER(H96),H96&gt;=0),MAX(ROUND(105%*SUM($C$34:C96),2),H96),"ตรวจมูลค่าเวนคืน")),MAX(0,ROUND(SUM($C$34:C96)-F96,2))))</x:f>
      </x:c>
      <x:c r="H96" s="65"/>
    </x:row>
    <x:row r="97" ht="23" customHeight="1">
      <x:c r="A97"/>
      <x:c r="B97" s="66" t="str">
        <x:f>IF($C$17&lt;&gt;"พร้อมคำนวณ","",IF($C$6+ROW()-34&gt;90,"",$C$6+ROW()-34))</x:f>
      </x:c>
      <x:c r="C97" s="67" t="str">
        <x:f>IF(B97="","",IF(B97-$C$6&lt;$C$12,$C$9,0))</x:f>
      </x:c>
      <x:c r="D97" s="68" t="str">
        <x:f>IF(B97="","",IF(B97&lt;$C$13,0,IF(B97&lt;=70,12%,IF(B97&lt;=75,15%,IF(B97&lt;=80,18%,IF(B97&lt;=85,21%,24%))))))</x:f>
      </x:c>
      <x:c r="E97" s="69" t="str">
        <x:f>IF(B97="","",ROUND(D97*$C$11,2))</x:f>
      </x:c>
      <x:c r="F97" s="67" t="str">
        <x:f>IF(B97="","",SUM($E$34:E97))</x:f>
      </x:c>
      <x:c r="G97" s="69" t="str">
        <x:f>IF(B97="","",IF(B97&lt;$C$13,IF(H97="",ROUND(105%*SUM($C$34:C97),2),IF(AND(ISNUMBER(H97),H97&gt;=0),MAX(ROUND(105%*SUM($C$34:C97),2),H97),"ตรวจมูลค่าเวนคืน")),MAX(0,ROUND(SUM($C$34:C97)-F97,2))))</x:f>
      </x:c>
      <x:c r="H97" s="65"/>
    </x:row>
    <x:row r="98" ht="23" customHeight="1">
      <x:c r="A98"/>
      <x:c r="B98" s="36" t="str">
        <x:f>IF($C$17&lt;&gt;"พร้อมคำนวณ","",IF($C$6+ROW()-34&gt;90,"",$C$6+ROW()-34))</x:f>
      </x:c>
      <x:c r="C98" s="37" t="str">
        <x:f>IF(B98="","",IF(B98-$C$6&lt;$C$12,$C$9,0))</x:f>
      </x:c>
      <x:c r="D98" s="38" t="str">
        <x:f>IF(B98="","",IF(B98&lt;$C$13,0,IF(B98&lt;=70,12%,IF(B98&lt;=75,15%,IF(B98&lt;=80,18%,IF(B98&lt;=85,21%,24%))))))</x:f>
      </x:c>
      <x:c r="E98" s="42" t="str">
        <x:f>IF(B98="","",ROUND(D98*$C$11,2))</x:f>
      </x:c>
      <x:c r="F98" s="37" t="str">
        <x:f>IF(B98="","",SUM($E$34:E98))</x:f>
      </x:c>
      <x:c r="G98" s="42" t="str">
        <x:f>IF(B98="","",IF(B98&lt;$C$13,IF(H98="",ROUND(105%*SUM($C$34:C98),2),IF(AND(ISNUMBER(H98),H98&gt;=0),MAX(ROUND(105%*SUM($C$34:C98),2),H98),"ตรวจมูลค่าเวนคืน")),MAX(0,ROUND(SUM($C$34:C98)-F98,2))))</x:f>
      </x:c>
      <x:c r="H98" s="65"/>
    </x:row>
    <x:row r="99" ht="23" customHeight="1">
      <x:c r="A99"/>
      <x:c r="B99" s="66" t="str">
        <x:f>IF($C$17&lt;&gt;"พร้อมคำนวณ","",IF($C$6+ROW()-34&gt;90,"",$C$6+ROW()-34))</x:f>
      </x:c>
      <x:c r="C99" s="67" t="str">
        <x:f>IF(B99="","",IF(B99-$C$6&lt;$C$12,$C$9,0))</x:f>
      </x:c>
      <x:c r="D99" s="68" t="str">
        <x:f>IF(B99="","",IF(B99&lt;$C$13,0,IF(B99&lt;=70,12%,IF(B99&lt;=75,15%,IF(B99&lt;=80,18%,IF(B99&lt;=85,21%,24%))))))</x:f>
      </x:c>
      <x:c r="E99" s="69" t="str">
        <x:f>IF(B99="","",ROUND(D99*$C$11,2))</x:f>
      </x:c>
      <x:c r="F99" s="67" t="str">
        <x:f>IF(B99="","",SUM($E$34:E99))</x:f>
      </x:c>
      <x:c r="G99" s="69" t="str">
        <x:f>IF(B99="","",IF(B99&lt;$C$13,IF(H99="",ROUND(105%*SUM($C$34:C99),2),IF(AND(ISNUMBER(H99),H99&gt;=0),MAX(ROUND(105%*SUM($C$34:C99),2),H99),"ตรวจมูลค่าเวนคืน")),MAX(0,ROUND(SUM($C$34:C99)-F99,2))))</x:f>
      </x:c>
      <x:c r="H99" s="65"/>
    </x:row>
    <x:row r="100" ht="23" customHeight="1">
      <x:c r="A100"/>
      <x:c r="B100" s="36" t="str">
        <x:f>IF($C$17&lt;&gt;"พร้อมคำนวณ","",IF($C$6+ROW()-34&gt;90,"",$C$6+ROW()-34))</x:f>
      </x:c>
      <x:c r="C100" s="37" t="str">
        <x:f>IF(B100="","",IF(B100-$C$6&lt;$C$12,$C$9,0))</x:f>
      </x:c>
      <x:c r="D100" s="38" t="str">
        <x:f>IF(B100="","",IF(B100&lt;$C$13,0,IF(B100&lt;=70,12%,IF(B100&lt;=75,15%,IF(B100&lt;=80,18%,IF(B100&lt;=85,21%,24%))))))</x:f>
      </x:c>
      <x:c r="E100" s="42" t="str">
        <x:f>IF(B100="","",ROUND(D100*$C$11,2))</x:f>
      </x:c>
      <x:c r="F100" s="37" t="str">
        <x:f>IF(B100="","",SUM($E$34:E100))</x:f>
      </x:c>
      <x:c r="G100" s="42" t="str">
        <x:f>IF(B100="","",IF(B100&lt;$C$13,IF(H100="",ROUND(105%*SUM($C$34:C100),2),IF(AND(ISNUMBER(H100),H100&gt;=0),MAX(ROUND(105%*SUM($C$34:C100),2),H100),"ตรวจมูลค่าเวนคืน")),MAX(0,ROUND(SUM($C$34:C100)-F100,2))))</x:f>
      </x:c>
      <x:c r="H100" s="65"/>
    </x:row>
    <x:row r="101" ht="23" customHeight="1">
      <x:c r="A101"/>
      <x:c r="B101" s="66" t="str">
        <x:f>IF($C$17&lt;&gt;"พร้อมคำนวณ","",IF($C$6+ROW()-34&gt;90,"",$C$6+ROW()-34))</x:f>
      </x:c>
      <x:c r="C101" s="67" t="str">
        <x:f>IF(B101="","",IF(B101-$C$6&lt;$C$12,$C$9,0))</x:f>
      </x:c>
      <x:c r="D101" s="68" t="str">
        <x:f>IF(B101="","",IF(B101&lt;$C$13,0,IF(B101&lt;=70,12%,IF(B101&lt;=75,15%,IF(B101&lt;=80,18%,IF(B101&lt;=85,21%,24%))))))</x:f>
      </x:c>
      <x:c r="E101" s="69" t="str">
        <x:f>IF(B101="","",ROUND(D101*$C$11,2))</x:f>
      </x:c>
      <x:c r="F101" s="67" t="str">
        <x:f>IF(B101="","",SUM($E$34:E101))</x:f>
      </x:c>
      <x:c r="G101" s="69" t="str">
        <x:f>IF(B101="","",IF(B101&lt;$C$13,IF(H101="",ROUND(105%*SUM($C$34:C101),2),IF(AND(ISNUMBER(H101),H101&gt;=0),MAX(ROUND(105%*SUM($C$34:C101),2),H101),"ตรวจมูลค่าเวนคืน")),MAX(0,ROUND(SUM($C$34:C101)-F101,2))))</x:f>
      </x:c>
      <x:c r="H101" s="65"/>
    </x:row>
    <x:row r="102" ht="23" customHeight="1">
      <x:c r="A102"/>
      <x:c r="B102" s="36" t="str">
        <x:f>IF($C$17&lt;&gt;"พร้อมคำนวณ","",IF($C$6+ROW()-34&gt;90,"",$C$6+ROW()-34))</x:f>
      </x:c>
      <x:c r="C102" s="37" t="str">
        <x:f>IF(B102="","",IF(B102-$C$6&lt;$C$12,$C$9,0))</x:f>
      </x:c>
      <x:c r="D102" s="38" t="str">
        <x:f>IF(B102="","",IF(B102&lt;$C$13,0,IF(B102&lt;=70,12%,IF(B102&lt;=75,15%,IF(B102&lt;=80,18%,IF(B102&lt;=85,21%,24%))))))</x:f>
      </x:c>
      <x:c r="E102" s="42" t="str">
        <x:f>IF(B102="","",ROUND(D102*$C$11,2))</x:f>
      </x:c>
      <x:c r="F102" s="37" t="str">
        <x:f>IF(B102="","",SUM($E$34:E102))</x:f>
      </x:c>
      <x:c r="G102" s="42" t="str">
        <x:f>IF(B102="","",IF(B102&lt;$C$13,IF(H102="",ROUND(105%*SUM($C$34:C102),2),IF(AND(ISNUMBER(H102),H102&gt;=0),MAX(ROUND(105%*SUM($C$34:C102),2),H102),"ตรวจมูลค่าเวนคืน")),MAX(0,ROUND(SUM($C$34:C102)-F102,2))))</x:f>
      </x:c>
      <x:c r="H102" s="65"/>
    </x:row>
    <x:row r="103" ht="23" customHeight="1">
      <x:c r="A103"/>
      <x:c r="B103" s="66" t="str">
        <x:f>IF($C$17&lt;&gt;"พร้อมคำนวณ","",IF($C$6+ROW()-34&gt;90,"",$C$6+ROW()-34))</x:f>
      </x:c>
      <x:c r="C103" s="67" t="str">
        <x:f>IF(B103="","",IF(B103-$C$6&lt;$C$12,$C$9,0))</x:f>
      </x:c>
      <x:c r="D103" s="68" t="str">
        <x:f>IF(B103="","",IF(B103&lt;$C$13,0,IF(B103&lt;=70,12%,IF(B103&lt;=75,15%,IF(B103&lt;=80,18%,IF(B103&lt;=85,21%,24%))))))</x:f>
      </x:c>
      <x:c r="E103" s="69" t="str">
        <x:f>IF(B103="","",ROUND(D103*$C$11,2))</x:f>
      </x:c>
      <x:c r="F103" s="67" t="str">
        <x:f>IF(B103="","",SUM($E$34:E103))</x:f>
      </x:c>
      <x:c r="G103" s="69" t="str">
        <x:f>IF(B103="","",IF(B103&lt;$C$13,IF(H103="",ROUND(105%*SUM($C$34:C103),2),IF(AND(ISNUMBER(H103),H103&gt;=0),MAX(ROUND(105%*SUM($C$34:C103),2),H103),"ตรวจมูลค่าเวนคืน")),MAX(0,ROUND(SUM($C$34:C103)-F103,2))))</x:f>
      </x:c>
      <x:c r="H103" s="65"/>
    </x:row>
    <x:row r="104" ht="23" customHeight="1">
      <x:c r="A104"/>
      <x:c r="B104" s="36" t="str">
        <x:f>IF($C$17&lt;&gt;"พร้อมคำนวณ","",IF($C$6+ROW()-34&gt;90,"",$C$6+ROW()-34))</x:f>
      </x:c>
      <x:c r="C104" s="37" t="str">
        <x:f>IF(B104="","",IF(B104-$C$6&lt;$C$12,$C$9,0))</x:f>
      </x:c>
      <x:c r="D104" s="38" t="str">
        <x:f>IF(B104="","",IF(B104&lt;$C$13,0,IF(B104&lt;=70,12%,IF(B104&lt;=75,15%,IF(B104&lt;=80,18%,IF(B104&lt;=85,21%,24%))))))</x:f>
      </x:c>
      <x:c r="E104" s="42" t="str">
        <x:f>IF(B104="","",ROUND(D104*$C$11,2))</x:f>
      </x:c>
      <x:c r="F104" s="37" t="str">
        <x:f>IF(B104="","",SUM($E$34:E104))</x:f>
      </x:c>
      <x:c r="G104" s="42" t="str">
        <x:f>IF(B104="","",IF(B104&lt;$C$13,IF(H104="",ROUND(105%*SUM($C$34:C104),2),IF(AND(ISNUMBER(H104),H104&gt;=0),MAX(ROUND(105%*SUM($C$34:C104),2),H104),"ตรวจมูลค่าเวนคืน")),MAX(0,ROUND(SUM($C$34:C104)-F104,2))))</x:f>
      </x:c>
      <x:c r="H104" s="65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 s="29" t="str">
        <x:v>*ก่อนรับบำนาญ: จ่าย 105% ของเบี้ยสะสม หรือมูลค่าเวนคืน ณ ขณะนั้น แล้วแต่จำนวนใดมากกว่า</x:v>
      </x:c>
      <x:c r="C106" s="29"/>
      <x:c r="D106" s="29"/>
      <x:c r="E106" s="29"/>
      <x:c r="F106" s="29"/>
      <x:c r="G106" s="29"/>
      <x:c r="H106" s="29"/>
    </x:row>
    <x:row r="107">
      <x:c r="A107"/>
      <x:c r="B107" s="29" t="str">
        <x:v>หลังเริ่มรับบำนาญ: จ่ายเบี้ยสะสมหักเงินบำนาญสะสมที่รับไปแล้ว (ไม่ต่ำกว่า 0 บาท)</x:v>
      </x:c>
      <x:c r="C107" s="29"/>
      <x:c r="D107" s="29"/>
      <x:c r="E107" s="29"/>
      <x:c r="F107" s="29"/>
      <x:c r="G107" s="29"/>
      <x:c r="H107" s="29"/>
    </x:row>
    <x:row r="108">
      <x:c r="A108"/>
      <x:c r="B108" s="29" t="str">
        <x:v>คอลัมน์ H ใช้เฉพาะปีก่อนรับบำนาญ หากเว้นว่าง คอลัมน์ G เป็นเพียงความคุ้มครองขั้นต่ำ</x:v>
      </x:c>
      <x:c r="C108" s="29"/>
      <x:c r="D108" s="29"/>
      <x:c r="E108" s="29"/>
      <x:c r="F108" s="29"/>
      <x:c r="G108" s="29"/>
      <x:c r="H108" s="29"/>
    </x:row>
    <x:row r="109">
      <x:c r="A109"/>
      <x:c r="B109" s="29" t="str">
        <x:v>จำนวนใน G คำนวณหลังชำระเบี้ยและรับเงินบำนาญของแถวนั้น; ยืนยันมูลค่าเวนคืนและวันเกิดเหตุจริงกับบริษัท</x:v>
      </x:c>
      <x:c r="C109" s="29"/>
      <x:c r="D109" s="29"/>
      <x:c r="E109" s="29"/>
      <x:c r="F109" s="29"/>
      <x:c r="G109" s="29"/>
      <x:c r="H109" s="2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 s="28" t="str">
        <x:v>เงื่อนไขแผนที่ใช้คำนวณ</x:v>
      </x:c>
      <x:c r="C112" s="28"/>
      <x:c r="D112" s="28"/>
      <x:c r="E112" s="28"/>
      <x:c r="F112" s="28"/>
      <x:c r="G112" s="28"/>
      <x:c r="H112"/>
    </x:row>
    <x:row r="113">
      <x:c r="A113"/>
      <x:c r="B113"/>
      <x:c r="C113"/>
      <x:c r="D113"/>
      <x:c r="E113"/>
      <x:c r="F113"/>
      <x:c r="G113"/>
      <x:c r="H113"/>
    </x:row>
    <x:row r="114" ht="30" customHeight="1">
      <x:c r="A114"/>
      <x:c r="B114" s="64" t="str">
        <x:v>แผน</x:v>
      </x:c>
      <x:c r="C114" s="64" t="str">
        <x:v>วิธีชำระเบี้ย</x:v>
      </x:c>
      <x:c r="D114" s="64" t="str">
        <x:v>อายุขั้นต่ำ</x:v>
      </x:c>
      <x:c r="E114" s="64" t="str">
        <x:v>อายุสูงสุด</x:v>
      </x:c>
      <x:c r="F114" s="64" t="str">
        <x:v>เริ่มบำนาญ (ปี)</x:v>
      </x:c>
      <x:c r="G114" s="64" t="str">
        <x:v>ทุนขั้นต่ำในตาราง</x:v>
      </x:c>
      <x:c r="H114"/>
    </x:row>
    <x:row r="115" ht="25" customHeight="1">
      <x:c r="A115"/>
      <x:c r="B115" s="48" t="str">
        <x:v>90/5 ดี 55</x:v>
      </x:c>
      <x:c r="C115" s="48" t="str">
        <x:v>5 ปี</x:v>
      </x:c>
      <x:c r="D115" s="48" t="n">
        <x:v>20</x:v>
      </x:c>
      <x:c r="E115" s="48" t="n">
        <x:v>50</x:v>
      </x:c>
      <x:c r="F115" s="48" t="n">
        <x:v>55</x:v>
      </x:c>
      <x:c r="G115" s="62" t="n">
        <x:v>0</x:v>
      </x:c>
      <x:c r="H115"/>
    </x:row>
    <x:row r="116" ht="25" customHeight="1">
      <x:c r="A116"/>
      <x:c r="B116" s="48" t="str">
        <x:v>90/5 ดี 60</x:v>
      </x:c>
      <x:c r="C116" s="48" t="str">
        <x:v>5 ปี</x:v>
      </x:c>
      <x:c r="D116" s="48" t="n">
        <x:v>20</x:v>
      </x:c>
      <x:c r="E116" s="48" t="n">
        <x:v>55</x:v>
      </x:c>
      <x:c r="F116" s="48" t="n">
        <x:v>60</x:v>
      </x:c>
      <x:c r="G116" s="62" t="n">
        <x:v>0</x:v>
      </x:c>
      <x:c r="H116"/>
    </x:row>
    <x:row r="117" ht="25" customHeight="1">
      <x:c r="A117"/>
      <x:c r="B117" s="48" t="str">
        <x:v>90/5 ดี 65</x:v>
      </x:c>
      <x:c r="C117" s="48" t="str">
        <x:v>5 ปี</x:v>
      </x:c>
      <x:c r="D117" s="48" t="n">
        <x:v>20</x:v>
      </x:c>
      <x:c r="E117" s="48" t="n">
        <x:v>55</x:v>
      </x:c>
      <x:c r="F117" s="48" t="n">
        <x:v>65</x:v>
      </x:c>
      <x:c r="G117" s="62" t="n">
        <x:v>0</x:v>
      </x:c>
      <x:c r="H117"/>
    </x:row>
    <x:row r="118" ht="25" customHeight="1">
      <x:c r="A118"/>
      <x:c r="B118" s="48" t="str">
        <x:v>เฟล็กซี่ รีไทร์ 9055</x:v>
      </x:c>
      <x:c r="C118" s="48" t="str">
        <x:v>ถึงอายุเริ่มรับบำนาญ</x:v>
      </x:c>
      <x:c r="D118" s="48" t="n">
        <x:v>20</x:v>
      </x:c>
      <x:c r="E118" s="48" t="n">
        <x:v>50</x:v>
      </x:c>
      <x:c r="F118" s="48" t="n">
        <x:v>55</x:v>
      </x:c>
      <x:c r="G118" s="62" t="n">
        <x:v>100000</x:v>
      </x:c>
      <x:c r="H118"/>
    </x:row>
    <x:row r="119" ht="25" customHeight="1">
      <x:c r="A119"/>
      <x:c r="B119" s="48" t="str">
        <x:v>เฟล็กซี่ รีไทร์ 9060</x:v>
      </x:c>
      <x:c r="C119" s="48" t="str">
        <x:v>ถึงอายุเริ่มรับบำนาญ</x:v>
      </x:c>
      <x:c r="D119" s="48" t="n">
        <x:v>20</x:v>
      </x:c>
      <x:c r="E119" s="48" t="n">
        <x:v>55</x:v>
      </x:c>
      <x:c r="F119" s="48" t="n">
        <x:v>60</x:v>
      </x:c>
      <x:c r="G119" s="62" t="n">
        <x:v>100000</x:v>
      </x:c>
      <x:c r="H119"/>
    </x:row>
    <x:row r="120" ht="25" customHeight="1">
      <x:c r="A120"/>
      <x:c r="B120" s="48" t="str">
        <x:v>เฟล็กซี่ รีไทร์ 9065</x:v>
      </x:c>
      <x:c r="C120" s="48" t="str">
        <x:v>ถึงอายุเริ่มรับบำนาญ</x:v>
      </x:c>
      <x:c r="D120" s="48" t="n">
        <x:v>20</x:v>
      </x:c>
      <x:c r="E120" s="48" t="n">
        <x:v>60</x:v>
      </x:c>
      <x:c r="F120" s="48" t="n">
        <x:v>65</x:v>
      </x:c>
      <x:c r="G120" s="62" t="n">
        <x:v>100000</x:v>
      </x:c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 s="29" t="str">
        <x:v>ทุนขั้นต่ำ 0 ในตารางเงื่อนไขหมายถึงไฟล์อัตราเบี้ย 90/5 ไม่ได้ระบุขั้นต่ำ ระบบรับเฉพาะทุนที่มากกว่า 0</x:v>
      </x:c>
      <x:c r="C122" s="29"/>
      <x:c r="D122" s="29"/>
      <x:c r="E122" s="29"/>
      <x:c r="F122" s="29"/>
      <x:c r="G122" s="29"/>
      <x:c r="H122" s="29"/>
    </x:row>
    <x:row r="123">
      <x:c r="A123"/>
      <x:c r="B123" s="29" t="str">
        <x:v>อัตราเบี้ย 9055/9060/9065 ใช้เฉพาะรายปีจาก flexi2.pdf หน้า 1–4</x:v>
      </x:c>
      <x:c r="C123" s="29"/>
      <x:c r="D123" s="29"/>
      <x:c r="E123" s="29"/>
      <x:c r="F123" s="29"/>
      <x:c r="G123" s="29"/>
      <x:c r="H123" s="29"/>
    </x:row>
    <x:row r="125">
      <x:c r="B125" s="28" t="str">
        <x:v>คำนวณย้อนกลับตามช่วงทุน</x:v>
      </x:c>
      <x:c r="C125" s="28"/>
      <x:c r="D125" s="28"/>
      <x:c r="E125" s="28"/>
      <x:c r="F125" s="28"/>
      <x:c r="G125" s="28"/>
      <x:c r="H125" s="28"/>
    </x:row>
    <x:row r="126">
      <x:c r="B126" t="str">
        <x:v>สถานะข้อมูลพื้นฐาน</x:v>
      </x:c>
      <x:c r="C126" t="str">
        <x:f>IF(OR(C5="",C6="",C7="",C8=""),"กรอกข้อมูลให้ครบ 4 ช่อง",IF(AND(C5&lt;&gt;"ชาย",C5&lt;&gt;"หญิง"),"เลือกเพศจากรายการ",IF(COUNTIFS($B$115:$B$120,C7)=0,"เลือกแผนจากรายการ",IF(NOT(ISNUMBER(C6)),"กรอกอายุเป็นตัวเลข",IF(OR(C6&lt;&gt;INT(C6),C6&lt;VLOOKUP(C7,$B$115:$G$120,3,FALSE),C6&gt;VLOOKUP(C7,$B$115:$G$120,4,FALSE)),"อายุนอกช่วงที่มีอัตราเบี้ยของแผนนี้",IF(NOT(ISNUMBER(C8)),"กรอกเบี้ยเป็นตัวเลข",IF(C8&lt;=0,"เบี้ยประกันต้องมากกว่า 0","ข้อมูลพื้นฐานครบ")))))))</x:f>
        <x:v>กรอกข้อมูลให้ครบ 4 ช่อง</x:v>
      </x:c>
    </x:row>
    <x:row r="128" ht="40" customHeight="1">
      <x:c r="B128" s="75" t="str">
        <x:v>ช่วงทุน</x:v>
      </x:c>
      <x:c r="C128" s="75" t="str">
        <x:v>ทุนขั้นต่ำ (บาท)</x:v>
      </x:c>
      <x:c r="D128" s="75" t="str">
        <x:v>ทุนสูงสุด (บาท)</x:v>
      </x:c>
      <x:c r="E128" s="75" t="str">
        <x:v>อัตราเบี้ยต่อ 1,000</x:v>
      </x:c>
      <x:c r="F128" s="75" t="str">
        <x:v>ทุนจากเบี้ยที่กรอก</x:v>
      </x:c>
      <x:c r="G128" s="75" t="str">
        <x:v>ทุนที่ใช้ได้ (บาท)</x:v>
      </x:c>
    </x:row>
    <x:row r="129" ht="26" customHeight="1">
      <x:c r="B129" s="48" t="n">
        <x:v>1</x:v>
      </x:c>
      <x:c r="C129" s="37" t="str">
        <x:f>IF($C$126&lt;&gt;"ข้อมูลพื้นฐานครบ","",IF(OR($C$7="เฟล็กซี่ รีไทร์ 9055",$C$7="เฟล็กซี่ รีไทร์ 9060",$C$7="เฟล็กซี่ รีไทร์ 9065"),100000,1))</x:f>
      </x:c>
      <x:c r="D129" s="37" t="str">
        <x:f>IF($C$126&lt;&gt;"ข้อมูลพื้นฐานครบ","",IF(OR($C$7="เฟล็กซี่ รีไทร์ 9055",$C$7="เฟล็กซี่ รีไทร์ 9060",$C$7="เฟล็กซี่ รีไทร์ 9065"),299999.99,""))</x:f>
      </x:c>
      <x:c r="E129" s="76" t="str">
        <x:f>IF($C$126&lt;&gt;"ข้อมูลพื้นฐานครบ","",IF($C$7="90/5 ดี 55",INDEX('90-5 ดี 55'!$B$9:$C$39,MATCH($C$6,'90-5 ดี 55'!$A$9:$A$39,0),IF($C$5="ชาย",1,2)),IF($C$7="90/5 ดี 60",INDEX('90-5 ดี 60'!$B$9:$C$44,MATCH($C$6,'90-5 ดี 60'!$A$9:$A$44,0),IF($C$5="ชาย",1,2)),IF($C$7="90/5 ดี 65",INDEX('90-5 ดี 65'!$B$9:$C$44,MATCH($C$6,'90-5 ดี 65'!$A$9:$A$44,0),IF($C$5="ชาย",1,2)),IF($C$7="เฟล็กซี่ รีไทร์ 9055",INDEX('9055'!$B$9:$I$39,MATCH($C$6,'9055'!$A$9:$A$39,0),1+IF($C$5="ชาย",0,1)),IF($C$7="เฟล็กซี่ รีไทร์ 9060",INDEX('9060'!$B$9:$I$44,MATCH($C$6,'9060'!$A$9:$A$44,0),1+IF($C$5="ชาย",0,1)),INDEX('9065'!$B$9:$I$49,MATCH($C$6,'9065'!$A$9:$A$49,0),1+IF($C$5="ชาย",0,1))))))))</x:f>
      </x:c>
      <x:c r="F129" s="37" t="str">
        <x:f>IF(E129="","",$C$8*$C$15/E129)</x:f>
      </x:c>
      <x:c r="G129" s="37" t="str">
        <x:f>IF(F129="","",IF(OR(ROUND(F129,2)&lt;C129,AND(D129&lt;&gt;"",ROUND(F129,2)&gt;D129)),0,ROUND(F129,2)))</x:f>
      </x:c>
    </x:row>
    <x:row r="130" ht="26" customHeight="1">
      <x:c r="B130" s="48" t="n">
        <x:v>2</x:v>
      </x:c>
      <x:c r="C130" s="37" t="str">
        <x:f>IF($C$126&lt;&gt;"ข้อมูลพื้นฐานครบ","",IF(OR($C$7="เฟล็กซี่ รีไทร์ 9055",$C$7="เฟล็กซี่ รีไทร์ 9060",$C$7="เฟล็กซี่ รีไทร์ 9065"),300000,""))</x:f>
      </x:c>
      <x:c r="D130" s="37" t="str">
        <x:f>IF($C$126&lt;&gt;"ข้อมูลพื้นฐานครบ","",IF(OR($C$7="เฟล็กซี่ รีไทร์ 9055",$C$7="เฟล็กซี่ รีไทร์ 9060",$C$7="เฟล็กซี่ รีไทร์ 9065"),499999.99,""))</x:f>
      </x:c>
      <x:c r="E130" s="76" t="str">
        <x:f>IF($C$126&lt;&gt;"ข้อมูลพื้นฐานครบ","",IF($C$7="90/5 ดี 55","",IF($C$7="90/5 ดี 60","",IF($C$7="90/5 ดี 65","",IF($C$7="เฟล็กซี่ รีไทร์ 9055",INDEX('9055'!$B$9:$I$39,MATCH($C$6,'9055'!$A$9:$A$39,0),3+IF($C$5="ชาย",0,1)),IF($C$7="เฟล็กซี่ รีไทร์ 9060",INDEX('9060'!$B$9:$I$44,MATCH($C$6,'9060'!$A$9:$A$44,0),3+IF($C$5="ชาย",0,1)),INDEX('9065'!$B$9:$I$49,MATCH($C$6,'9065'!$A$9:$A$49,0),3+IF($C$5="ชาย",0,1))))))))</x:f>
      </x:c>
      <x:c r="F130" s="37" t="str">
        <x:f>IF(E130="","",$C$8*$C$15/E130)</x:f>
      </x:c>
      <x:c r="G130" s="37" t="str">
        <x:f>IF(F130="","",IF(OR(ROUND(F130,2)&lt;C130,AND(D130&lt;&gt;"",ROUND(F130,2)&gt;D130)),0,ROUND(F130,2)))</x:f>
      </x:c>
    </x:row>
    <x:row r="131" ht="26" customHeight="1">
      <x:c r="B131" s="48" t="n">
        <x:v>3</x:v>
      </x:c>
      <x:c r="C131" s="37" t="str">
        <x:f>IF($C$126&lt;&gt;"ข้อมูลพื้นฐานครบ","",IF(OR($C$7="เฟล็กซี่ รีไทร์ 9055",$C$7="เฟล็กซี่ รีไทร์ 9060",$C$7="เฟล็กซี่ รีไทร์ 9065"),500000,""))</x:f>
      </x:c>
      <x:c r="D131" s="37" t="str">
        <x:f>IF($C$126&lt;&gt;"ข้อมูลพื้นฐานครบ","",IF(OR($C$7="เฟล็กซี่ รีไทร์ 9055",$C$7="เฟล็กซี่ รีไทร์ 9060",$C$7="เฟล็กซี่ รีไทร์ 9065"),999999.99,""))</x:f>
      </x:c>
      <x:c r="E131" s="76" t="str">
        <x:f>IF($C$126&lt;&gt;"ข้อมูลพื้นฐานครบ","",IF($C$7="90/5 ดี 55","",IF($C$7="90/5 ดี 60","",IF($C$7="90/5 ดี 65","",IF($C$7="เฟล็กซี่ รีไทร์ 9055",INDEX('9055'!$B$9:$I$39,MATCH($C$6,'9055'!$A$9:$A$39,0),5+IF($C$5="ชาย",0,1)),IF($C$7="เฟล็กซี่ รีไทร์ 9060",INDEX('9060'!$B$9:$I$44,MATCH($C$6,'9060'!$A$9:$A$44,0),5+IF($C$5="ชาย",0,1)),INDEX('9065'!$B$9:$I$49,MATCH($C$6,'9065'!$A$9:$A$49,0),5+IF($C$5="ชาย",0,1))))))))</x:f>
      </x:c>
      <x:c r="F131" s="37" t="str">
        <x:f>IF(E131="","",$C$8*$C$15/E131)</x:f>
      </x:c>
      <x:c r="G131" s="37" t="str">
        <x:f>IF(F131="","",IF(OR(ROUND(F131,2)&lt;C131,AND(D131&lt;&gt;"",ROUND(F131,2)&gt;D131)),0,ROUND(F131,2)))</x:f>
      </x:c>
    </x:row>
    <x:row r="132" ht="26" customHeight="1">
      <x:c r="B132" s="48" t="n">
        <x:v>4</x:v>
      </x:c>
      <x:c r="C132" s="37" t="str">
        <x:f>IF($C$126&lt;&gt;"ข้อมูลพื้นฐานครบ","",IF(OR($C$7="เฟล็กซี่ รีไทร์ 9055",$C$7="เฟล็กซี่ รีไทร์ 9060",$C$7="เฟล็กซี่ รีไทร์ 9065"),1000000,""))</x:f>
      </x:c>
      <x:c r="D132" s="37" t="str">
        <x:f>IF($C$126&lt;&gt;"ข้อมูลพื้นฐานครบ","",IF(OR($C$7="เฟล็กซี่ รีไทร์ 9055",$C$7="เฟล็กซี่ รีไทร์ 9060",$C$7="เฟล็กซี่ รีไทร์ 9065"),"",""))</x:f>
      </x:c>
      <x:c r="E132" s="76" t="str">
        <x:f>IF($C$126&lt;&gt;"ข้อมูลพื้นฐานครบ","",IF($C$7="90/5 ดี 55","",IF($C$7="90/5 ดี 60","",IF($C$7="90/5 ดี 65","",IF($C$7="เฟล็กซี่ รีไทร์ 9055",INDEX('9055'!$B$9:$I$39,MATCH($C$6,'9055'!$A$9:$A$39,0),7+IF($C$5="ชาย",0,1)),IF($C$7="เฟล็กซี่ รีไทร์ 9060",INDEX('9060'!$B$9:$I$44,MATCH($C$6,'9060'!$A$9:$A$44,0),7+IF($C$5="ชาย",0,1)),INDEX('9065'!$B$9:$I$49,MATCH($C$6,'9065'!$A$9:$A$49,0),7+IF($C$5="ชาย",0,1))))))))</x:f>
      </x:c>
      <x:c r="F132" s="37" t="str">
        <x:f>IF(E132="","",$C$8*$C$15/E132)</x:f>
      </x:c>
      <x:c r="G132" s="37" t="str">
        <x:f>IF(F132="","",IF(OR(ROUND(F132,2)&lt;C132,AND(D132&lt;&gt;"",ROUND(F132,2)&gt;D132)),0,ROUND(F132,2)))</x:f>
      </x:c>
    </x:row>
    <x:row r="134">
      <x:c r="B134" s="29" t="str">
        <x:v>คำนวณทุนจากเบี้ยที่กรอกโดยตรง ปัดทุนเป็นทศนิยม 2 ตำแหน่ง แล้วเลือกคำตอบที่อยู่ในช่วงอัตรา</x:v>
      </x:c>
      <x:c r="C134" s="29"/>
      <x:c r="D134" s="29"/>
      <x:c r="E134" s="29"/>
      <x:c r="F134" s="29"/>
      <x:c r="G134" s="29"/>
      <x:c r="H134" s="29"/>
    </x:row>
  </x:sheetData>
  <x:mergeCells>
    <x:mergeCell ref="C17:F18"/>
  </x:mergeCells>
  <x:dataValidations count="5">
    <x:dataValidation type="list" sqref="C5">
      <x:formula1>"ชาย,หญิง"</x:formula1>
    </x:dataValidation>
    <x:dataValidation type="list" sqref="C7">
      <x:formula1>"90/5 ดี 55,90/5 ดี 60,90/5 ดี 65,เฟล็กซี่ รีไทร์ 9055,เฟล็กซี่ รีไทร์ 9060,เฟล็กซี่ รีไทร์ 9065"</x:formula1>
    </x:dataValidation>
    <x:dataValidation type="whole" operator="between" sqref="C6">
      <x:formula1>20</x:formula1>
      <x:formula2>60</x:formula2>
    </x:dataValidation>
    <x:dataValidation type="decimal" operator="greaterThan" sqref="C8">
      <x:formula1>0</x:formula1>
    </x:dataValidation>
    <x:dataValidation type="decimal" operator="greaterThanOrEqual" sqref="H34:H104">
      <x:formula1>0</x:formula1>
    </x:dataValidation>
  </x:dataValidations>
  <x:pageMargins left="0.7" right="0.7" top="0.75" bottom="0.75" header="0.3" footer="0.3"/>
</x:worksheet>
</file>